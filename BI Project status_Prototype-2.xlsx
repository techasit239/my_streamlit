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updateLinks="always"/>
  <mc:AlternateContent xmlns:mc="http://schemas.openxmlformats.org/markup-compatibility/2006">
    <mc:Choice Requires="x15">
      <x15ac:absPath xmlns:x15ac="http://schemas.microsoft.com/office/spreadsheetml/2010/11/ac" url="https://nida365-my.sharepoint.com/personal/6720422008_stu_nida_ac_th/Documents/Master of Data Science/DADS5001_/Final Project/Working/"/>
    </mc:Choice>
  </mc:AlternateContent>
  <xr:revisionPtr revIDLastSave="0" documentId="8_{42A0101F-D861-4E64-B7FD-FEEE2EF4B2C3}" xr6:coauthVersionLast="47" xr6:coauthVersionMax="47" xr10:uidLastSave="{00000000-0000-0000-0000-000000000000}"/>
  <bookViews>
    <workbookView xWindow="-110" yWindow="-110" windowWidth="19420" windowHeight="10300" firstSheet="1" activeTab="1" xr2:uid="{1B003E72-C918-4C13-802C-100FC7B71173}"/>
  </bookViews>
  <sheets>
    <sheet name="Project" sheetId="1" r:id="rId1"/>
    <sheet name="Invoice" sheetId="2" r:id="rId2"/>
  </sheets>
  <externalReferences>
    <externalReference r:id="rId3"/>
  </externalReferences>
  <definedNames>
    <definedName name="_xlnm._FilterDatabase" localSheetId="1" hidden="1">Invoice!$A$1:$T$70</definedName>
    <definedName name="_xlnm._FilterDatabase" localSheetId="0" hidden="1">Project!$A$1:$AE$34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11" i="2"/>
  <c r="L12" i="2"/>
  <c r="L13" i="2"/>
  <c r="L14" i="2"/>
  <c r="L16" i="2"/>
  <c r="L19" i="2"/>
  <c r="L20" i="2"/>
  <c r="L21" i="2"/>
  <c r="L23" i="2"/>
  <c r="L26" i="2"/>
  <c r="L27" i="2"/>
  <c r="L28" i="2"/>
  <c r="L30" i="2"/>
  <c r="L31" i="2"/>
  <c r="L32" i="2"/>
  <c r="L36" i="2"/>
  <c r="L37" i="2"/>
  <c r="L38" i="2"/>
  <c r="L40" i="2"/>
  <c r="L41" i="2"/>
  <c r="L44" i="2"/>
  <c r="L48" i="2"/>
  <c r="L49" i="2"/>
  <c r="L50" i="2"/>
  <c r="L51" i="2"/>
  <c r="L52" i="2"/>
  <c r="L53" i="2"/>
  <c r="L54" i="2"/>
  <c r="L56" i="2"/>
  <c r="L57" i="2"/>
  <c r="L60" i="2"/>
  <c r="L2" i="2"/>
  <c r="P5" i="1"/>
  <c r="X33" i="1"/>
  <c r="X34" i="1"/>
  <c r="X32" i="1"/>
  <c r="N60" i="2"/>
  <c r="R68" i="2"/>
  <c r="R69" i="2"/>
  <c r="R70" i="2"/>
  <c r="X31" i="1"/>
  <c r="P31" i="1"/>
  <c r="H70" i="2"/>
  <c r="H69" i="2"/>
  <c r="H68" i="2"/>
  <c r="N2" i="2"/>
  <c r="H6" i="2"/>
  <c r="H9" i="2"/>
  <c r="Q6" i="1"/>
  <c r="R67" i="2"/>
  <c r="R66" i="2"/>
  <c r="R65" i="2"/>
  <c r="R64" i="2"/>
  <c r="R63" i="2"/>
  <c r="H67" i="2"/>
  <c r="H66" i="2"/>
  <c r="H65" i="2"/>
  <c r="H64" i="2"/>
  <c r="H63" i="2"/>
  <c r="P26" i="1"/>
  <c r="X26" i="1"/>
  <c r="X27" i="1"/>
  <c r="X28" i="1"/>
  <c r="X29" i="1"/>
  <c r="R61" i="2"/>
  <c r="R62" i="2"/>
  <c r="H62" i="2"/>
  <c r="H61" i="2"/>
  <c r="H60" i="2"/>
  <c r="X30" i="1"/>
  <c r="P30" i="1"/>
  <c r="R9" i="2"/>
  <c r="R10" i="2"/>
  <c r="R15" i="2"/>
  <c r="R17" i="2"/>
  <c r="R18" i="2"/>
  <c r="R22" i="2"/>
  <c r="R24" i="2"/>
  <c r="R25" i="2"/>
  <c r="R29" i="2"/>
  <c r="R33" i="2"/>
  <c r="R34" i="2"/>
  <c r="R35" i="2"/>
  <c r="R39" i="2"/>
  <c r="R42" i="2"/>
  <c r="R43" i="2"/>
  <c r="R45" i="2"/>
  <c r="R46" i="2"/>
  <c r="R47" i="2"/>
  <c r="R55" i="2"/>
  <c r="R58" i="2"/>
  <c r="R59" i="2"/>
  <c r="Q4" i="2"/>
  <c r="Q5" i="2"/>
  <c r="Q6" i="2"/>
  <c r="Q8" i="2"/>
  <c r="Q11" i="2"/>
  <c r="Q13" i="2"/>
  <c r="Q16" i="2"/>
  <c r="Q19" i="2"/>
  <c r="Q20" i="2"/>
  <c r="Q21" i="2"/>
  <c r="Q23" i="2"/>
  <c r="Q26" i="2"/>
  <c r="Q27" i="2"/>
  <c r="Q28" i="2"/>
  <c r="Q30" i="2"/>
  <c r="Q31" i="2"/>
  <c r="Q32" i="2"/>
  <c r="Q36" i="2"/>
  <c r="Q37" i="2"/>
  <c r="Q38" i="2"/>
  <c r="Q40" i="2"/>
  <c r="Q41" i="2"/>
  <c r="Q44" i="2"/>
  <c r="Q48" i="2"/>
  <c r="Q50" i="2"/>
  <c r="Q51" i="2"/>
  <c r="Q52" i="2"/>
  <c r="Q53" i="2"/>
  <c r="Q54" i="2"/>
  <c r="Q56" i="2"/>
  <c r="Q57" i="2"/>
  <c r="Q2" i="2"/>
  <c r="R4" i="2"/>
  <c r="R5" i="2"/>
  <c r="R8" i="2"/>
  <c r="R13" i="2"/>
  <c r="R19" i="2"/>
  <c r="R20" i="2"/>
  <c r="R21" i="2"/>
  <c r="R26" i="2"/>
  <c r="R27" i="2"/>
  <c r="R28" i="2"/>
  <c r="R30" i="2"/>
  <c r="R37" i="2"/>
  <c r="R38" i="2"/>
  <c r="R40" i="2"/>
  <c r="R44" i="2"/>
  <c r="R49" i="2"/>
  <c r="R50" i="2"/>
  <c r="R51" i="2"/>
  <c r="R52" i="2"/>
  <c r="R53" i="2"/>
  <c r="R56" i="2"/>
  <c r="R57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3" i="2"/>
  <c r="H18" i="2"/>
  <c r="H17" i="2"/>
  <c r="H15" i="2"/>
  <c r="H3" i="2"/>
  <c r="H22" i="2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21" i="1"/>
  <c r="Y22" i="1"/>
  <c r="Y23" i="1"/>
  <c r="Y24" i="1"/>
  <c r="Y25" i="1"/>
  <c r="Y2" i="1"/>
  <c r="X2" i="1"/>
  <c r="X3" i="1"/>
  <c r="X25" i="1" l="1"/>
  <c r="X23" i="1"/>
  <c r="X24" i="1"/>
  <c r="X22" i="1"/>
  <c r="X21" i="1"/>
  <c r="X18" i="1"/>
  <c r="X16" i="1"/>
  <c r="X14" i="1"/>
  <c r="X12" i="1"/>
  <c r="X10" i="1"/>
  <c r="H4" i="2"/>
  <c r="P9" i="1"/>
  <c r="P8" i="1"/>
  <c r="P2" i="1"/>
  <c r="H2" i="2"/>
  <c r="H16" i="2"/>
  <c r="X9" i="1" l="1"/>
  <c r="X8" i="1"/>
  <c r="X6" i="1"/>
  <c r="X5" i="1"/>
  <c r="X4" i="1"/>
</calcChain>
</file>

<file path=xl/sharedStrings.xml><?xml version="1.0" encoding="utf-8"?>
<sst xmlns="http://schemas.openxmlformats.org/spreadsheetml/2006/main" count="654" uniqueCount="127">
  <si>
    <t>Project Engineer</t>
  </si>
  <si>
    <t>Project year</t>
  </si>
  <si>
    <t>Order number</t>
  </si>
  <si>
    <t>Customer</t>
  </si>
  <si>
    <t>Project</t>
  </si>
  <si>
    <t>Product</t>
  </si>
  <si>
    <t>Design</t>
  </si>
  <si>
    <t>Manufactured by</t>
  </si>
  <si>
    <t>PO delivery term</t>
  </si>
  <si>
    <t>Waranty end</t>
  </si>
  <si>
    <t>Q'ty</t>
  </si>
  <si>
    <t>Project Value</t>
  </si>
  <si>
    <t>Actual Delivery term</t>
  </si>
  <si>
    <t>Max LD</t>
  </si>
  <si>
    <t>LD Risk</t>
  </si>
  <si>
    <t>Max LD Amount</t>
  </si>
  <si>
    <t>Extra cost</t>
  </si>
  <si>
    <t>Change order</t>
  </si>
  <si>
    <t>Change order amount</t>
  </si>
  <si>
    <t>Storage fee</t>
  </si>
  <si>
    <t>Storage fee amount</t>
  </si>
  <si>
    <t>PO Date</t>
  </si>
  <si>
    <t>Original Delivery Date</t>
  </si>
  <si>
    <t>Days late</t>
  </si>
  <si>
    <t>Estimated shipdate</t>
  </si>
  <si>
    <t>Actual shipdate</t>
  </si>
  <si>
    <t>Balance</t>
  </si>
  <si>
    <t>Project Phrase</t>
  </si>
  <si>
    <t>Status</t>
  </si>
  <si>
    <t>Number of Status</t>
  </si>
  <si>
    <t>Progress</t>
  </si>
  <si>
    <t>Project Engineer1</t>
  </si>
  <si>
    <t>Customer1</t>
  </si>
  <si>
    <t>Project1</t>
  </si>
  <si>
    <t>Heater</t>
  </si>
  <si>
    <t>New</t>
  </si>
  <si>
    <t>USA</t>
  </si>
  <si>
    <t>FOB</t>
  </si>
  <si>
    <t>FCA</t>
  </si>
  <si>
    <t>No</t>
  </si>
  <si>
    <t>Final Document</t>
  </si>
  <si>
    <t>Shipped</t>
  </si>
  <si>
    <t>Control Panel</t>
  </si>
  <si>
    <t>Yes</t>
  </si>
  <si>
    <t>Customer2</t>
  </si>
  <si>
    <t>Project2</t>
  </si>
  <si>
    <t>Repeat</t>
  </si>
  <si>
    <t>EXW</t>
  </si>
  <si>
    <t>Completed</t>
  </si>
  <si>
    <t>Customer3</t>
  </si>
  <si>
    <t>Project3</t>
  </si>
  <si>
    <t>Procurement</t>
  </si>
  <si>
    <t>Delayed</t>
  </si>
  <si>
    <t>Customer4</t>
  </si>
  <si>
    <t>Project4</t>
  </si>
  <si>
    <t>Spain</t>
  </si>
  <si>
    <t>Shipping</t>
  </si>
  <si>
    <t>China</t>
  </si>
  <si>
    <t>Final inspection</t>
  </si>
  <si>
    <t>Project5</t>
  </si>
  <si>
    <t>Fabrication</t>
  </si>
  <si>
    <t>On track</t>
  </si>
  <si>
    <t>Project Engineer2</t>
  </si>
  <si>
    <t>Customer5</t>
  </si>
  <si>
    <t>Project6</t>
  </si>
  <si>
    <t>Project7</t>
  </si>
  <si>
    <t>Customer6</t>
  </si>
  <si>
    <t>Project8</t>
  </si>
  <si>
    <t>Customer7</t>
  </si>
  <si>
    <t>Project9</t>
  </si>
  <si>
    <t>Customer8</t>
  </si>
  <si>
    <t>Project10</t>
  </si>
  <si>
    <t>Vessel</t>
  </si>
  <si>
    <t>South Korea</t>
  </si>
  <si>
    <t>Project Engineer3</t>
  </si>
  <si>
    <t>Customer9</t>
  </si>
  <si>
    <t>Project11</t>
  </si>
  <si>
    <t>Customer10</t>
  </si>
  <si>
    <t>Project12</t>
  </si>
  <si>
    <t>EWX</t>
  </si>
  <si>
    <t>Customer11</t>
  </si>
  <si>
    <t>Project13</t>
  </si>
  <si>
    <t>Customer12</t>
  </si>
  <si>
    <t>Project14</t>
  </si>
  <si>
    <t>France</t>
  </si>
  <si>
    <t>Prepare document</t>
  </si>
  <si>
    <t>Customer13</t>
  </si>
  <si>
    <t>Project15</t>
  </si>
  <si>
    <t>Project15_x000D_</t>
  </si>
  <si>
    <t>Customer14</t>
  </si>
  <si>
    <t>Project16</t>
  </si>
  <si>
    <t>Project17</t>
  </si>
  <si>
    <t>Customer15</t>
  </si>
  <si>
    <t>Project18</t>
  </si>
  <si>
    <t>SEQ</t>
  </si>
  <si>
    <t>Sale order No.</t>
  </si>
  <si>
    <t>Total amount</t>
  </si>
  <si>
    <t>Percentage of amount</t>
  </si>
  <si>
    <t>Invoice value</t>
  </si>
  <si>
    <t xml:space="preserve">Currency unit </t>
  </si>
  <si>
    <t>Invoice plan date</t>
  </si>
  <si>
    <t>Issued Date</t>
  </si>
  <si>
    <t>Invoice due date</t>
  </si>
  <si>
    <t>Plan payment date</t>
  </si>
  <si>
    <t>Expected Payment date</t>
  </si>
  <si>
    <t>Actual Payment received date</t>
  </si>
  <si>
    <t>Plan Delayed</t>
  </si>
  <si>
    <t>Actual Delayed</t>
  </si>
  <si>
    <t>Claim Plan 2025</t>
  </si>
  <si>
    <t>Payment Status</t>
  </si>
  <si>
    <t>USD</t>
  </si>
  <si>
    <t>Paid</t>
  </si>
  <si>
    <t>Invoiced</t>
  </si>
  <si>
    <t>x</t>
  </si>
  <si>
    <t>Not invoiced</t>
  </si>
  <si>
    <t>Aging</t>
  </si>
  <si>
    <t>18110680/18110687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</si>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</sst>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&quot;$&quot;* #,##0.00_);_(&quot;$&quot;* \(#,##0.00\);_(&quot;$&quot;* &quot;-&quot;??_);_(@_)"/>
    <numFmt numFmtId="188" formatCode="_(* #,##0.00_);_(* \(#,##0.00\);_(* &quot;-&quot;??_);_(@_)"/>
    <numFmt numFmtId="189" formatCode="[$-409]d\-mmm\-yy;@"/>
  </numFmts>
  <fonts count="13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Tahoma"/>
      <family val="2"/>
      <scheme val="minor"/>
    </font>
    <font>
      <sz val="11"/>
      <name val="Tahoma"/>
      <family val="2"/>
      <scheme val="minor"/>
    </font>
    <font>
      <sz val="9"/>
      <name val="Arial"/>
      <family val="2"/>
    </font>
    <font>
      <sz val="11"/>
      <color theme="1"/>
      <name val="Calibri"/>
      <family val="2"/>
    </font>
    <font>
      <sz val="11"/>
      <color rgb="FF000000"/>
      <name val="Tahoma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189" fontId="2" fillId="0" borderId="1" xfId="0" applyNumberFormat="1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7" fontId="0" fillId="0" borderId="1" xfId="1" applyFont="1" applyBorder="1" applyAlignment="1">
      <alignment horizontal="center"/>
    </xf>
    <xf numFmtId="9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8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187" fontId="0" fillId="0" borderId="1" xfId="1" applyFont="1" applyFill="1" applyBorder="1" applyAlignment="1">
      <alignment horizontal="right" vertical="top"/>
    </xf>
    <xf numFmtId="187" fontId="0" fillId="0" borderId="1" xfId="1" applyFont="1" applyFill="1" applyBorder="1" applyAlignment="1">
      <alignment horizontal="center"/>
    </xf>
    <xf numFmtId="189" fontId="10" fillId="0" borderId="1" xfId="0" applyNumberFormat="1" applyFont="1" applyBorder="1" applyAlignment="1">
      <alignment horizontal="center" vertical="top"/>
    </xf>
    <xf numFmtId="189" fontId="2" fillId="0" borderId="1" xfId="0" applyNumberFormat="1" applyFont="1" applyBorder="1" applyAlignment="1">
      <alignment horizontal="center" vertical="top"/>
    </xf>
    <xf numFmtId="189" fontId="2" fillId="0" borderId="2" xfId="0" applyNumberFormat="1" applyFont="1" applyBorder="1" applyAlignment="1">
      <alignment horizontal="center" vertical="top"/>
    </xf>
    <xf numFmtId="189" fontId="10" fillId="0" borderId="2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187" fontId="0" fillId="0" borderId="1" xfId="1" applyFont="1" applyBorder="1" applyAlignment="1">
      <alignment vertical="top"/>
    </xf>
    <xf numFmtId="187" fontId="0" fillId="0" borderId="1" xfId="1" applyFont="1" applyFill="1" applyBorder="1" applyAlignment="1">
      <alignment vertical="top"/>
    </xf>
    <xf numFmtId="187" fontId="0" fillId="0" borderId="4" xfId="1" applyFont="1" applyBorder="1" applyAlignment="1">
      <alignment vertical="top"/>
    </xf>
    <xf numFmtId="187" fontId="11" fillId="0" borderId="4" xfId="1" applyFont="1" applyBorder="1" applyAlignment="1">
      <alignment vertical="top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88" fontId="0" fillId="0" borderId="4" xfId="2" applyFont="1" applyFill="1" applyBorder="1" applyAlignment="1">
      <alignment horizontal="center" vertical="center"/>
    </xf>
    <xf numFmtId="188" fontId="0" fillId="0" borderId="5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187" fontId="0" fillId="0" borderId="4" xfId="1" applyFont="1" applyBorder="1" applyAlignment="1">
      <alignment horizontal="center"/>
    </xf>
    <xf numFmtId="189" fontId="2" fillId="0" borderId="4" xfId="0" applyNumberFormat="1" applyFont="1" applyBorder="1" applyAlignment="1">
      <alignment horizontal="center" vertical="top"/>
    </xf>
    <xf numFmtId="2" fontId="0" fillId="0" borderId="4" xfId="0" applyNumberFormat="1" applyBorder="1" applyAlignment="1">
      <alignment horizontal="center"/>
    </xf>
    <xf numFmtId="189" fontId="2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87" fontId="0" fillId="0" borderId="5" xfId="1" applyFont="1" applyBorder="1" applyAlignment="1">
      <alignment horizontal="center" vertical="center"/>
    </xf>
    <xf numFmtId="9" fontId="0" fillId="0" borderId="5" xfId="1" applyNumberFormat="1" applyFont="1" applyBorder="1" applyAlignment="1">
      <alignment horizontal="center" vertical="center"/>
    </xf>
    <xf numFmtId="189" fontId="2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187" fontId="0" fillId="0" borderId="5" xfId="1" applyFont="1" applyBorder="1" applyAlignment="1">
      <alignment horizontal="center"/>
    </xf>
    <xf numFmtId="189" fontId="2" fillId="0" borderId="5" xfId="0" applyNumberFormat="1" applyFont="1" applyBorder="1" applyAlignment="1">
      <alignment horizontal="center" vertical="top"/>
    </xf>
    <xf numFmtId="2" fontId="0" fillId="0" borderId="5" xfId="0" applyNumberFormat="1" applyBorder="1" applyAlignment="1">
      <alignment horizontal="center"/>
    </xf>
    <xf numFmtId="187" fontId="0" fillId="0" borderId="5" xfId="1" applyFont="1" applyBorder="1" applyAlignment="1">
      <alignment horizontal="right" vertical="top"/>
    </xf>
    <xf numFmtId="187" fontId="11" fillId="0" borderId="5" xfId="1" applyFont="1" applyBorder="1" applyAlignment="1">
      <alignment vertical="top"/>
    </xf>
    <xf numFmtId="0" fontId="0" fillId="0" borderId="5" xfId="0" quotePrefix="1" applyBorder="1" applyAlignment="1">
      <alignment horizontal="center"/>
    </xf>
    <xf numFmtId="187" fontId="0" fillId="0" borderId="4" xfId="1" applyFont="1" applyFill="1" applyBorder="1" applyAlignment="1">
      <alignment horizontal="right" vertical="top"/>
    </xf>
    <xf numFmtId="187" fontId="0" fillId="0" borderId="7" xfId="1" applyFont="1" applyBorder="1" applyAlignment="1">
      <alignment horizontal="center" vertical="center"/>
    </xf>
    <xf numFmtId="9" fontId="0" fillId="0" borderId="7" xfId="1" applyNumberFormat="1" applyFont="1" applyBorder="1" applyAlignment="1">
      <alignment horizontal="center" vertical="center"/>
    </xf>
    <xf numFmtId="189" fontId="2" fillId="0" borderId="7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87" fontId="0" fillId="0" borderId="5" xfId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quotePrefix="1" applyBorder="1" applyAlignment="1">
      <alignment horizontal="center"/>
    </xf>
    <xf numFmtId="187" fontId="0" fillId="0" borderId="7" xfId="1" applyFont="1" applyFill="1" applyBorder="1" applyAlignment="1">
      <alignment horizontal="center" vertical="center"/>
    </xf>
    <xf numFmtId="9" fontId="0" fillId="0" borderId="7" xfId="1" applyNumberFormat="1" applyFont="1" applyFill="1" applyBorder="1" applyAlignment="1">
      <alignment horizontal="center" vertical="center"/>
    </xf>
    <xf numFmtId="187" fontId="0" fillId="3" borderId="1" xfId="1" applyFont="1" applyFill="1" applyBorder="1" applyAlignment="1">
      <alignment horizontal="center"/>
    </xf>
    <xf numFmtId="9" fontId="0" fillId="3" borderId="1" xfId="1" applyNumberFormat="1" applyFont="1" applyFill="1" applyBorder="1" applyAlignment="1">
      <alignment horizontal="center"/>
    </xf>
    <xf numFmtId="189" fontId="3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/>
    </xf>
    <xf numFmtId="189" fontId="2" fillId="3" borderId="1" xfId="0" applyNumberFormat="1" applyFont="1" applyFill="1" applyBorder="1" applyAlignment="1">
      <alignment horizontal="center" vertical="center"/>
    </xf>
    <xf numFmtId="9" fontId="0" fillId="0" borderId="1" xfId="1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88" fontId="5" fillId="0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88" fontId="6" fillId="0" borderId="1" xfId="2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189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89" fontId="0" fillId="0" borderId="1" xfId="0" applyNumberForma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right" vertical="center"/>
    </xf>
    <xf numFmtId="9" fontId="12" fillId="0" borderId="1" xfId="0" applyNumberFormat="1" applyFont="1" applyBorder="1" applyAlignment="1">
      <alignment horizontal="center" vertical="center"/>
    </xf>
    <xf numFmtId="188" fontId="12" fillId="0" borderId="1" xfId="2" applyFont="1" applyFill="1" applyBorder="1" applyAlignment="1">
      <alignment horizontal="center" vertical="center"/>
    </xf>
    <xf numFmtId="189" fontId="11" fillId="0" borderId="1" xfId="0" applyNumberFormat="1" applyFont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188" fontId="11" fillId="0" borderId="1" xfId="2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9" fontId="0" fillId="0" borderId="1" xfId="3" applyFont="1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88" fontId="0" fillId="0" borderId="4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/>
    </xf>
    <xf numFmtId="9" fontId="0" fillId="0" borderId="5" xfId="0" applyNumberFormat="1" applyBorder="1" applyAlignment="1">
      <alignment horizontal="center" vertical="center"/>
    </xf>
    <xf numFmtId="188" fontId="0" fillId="0" borderId="5" xfId="0" applyNumberFormat="1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15" fontId="0" fillId="0" borderId="5" xfId="0" applyNumberFormat="1" applyBorder="1"/>
    <xf numFmtId="0" fontId="6" fillId="0" borderId="5" xfId="0" applyFont="1" applyBorder="1" applyAlignment="1">
      <alignment horizontal="center"/>
    </xf>
    <xf numFmtId="188" fontId="0" fillId="0" borderId="5" xfId="0" applyNumberFormat="1" applyBorder="1"/>
    <xf numFmtId="4" fontId="0" fillId="0" borderId="5" xfId="0" applyNumberFormat="1" applyBorder="1" applyAlignment="1">
      <alignment horizontal="center"/>
    </xf>
    <xf numFmtId="4" fontId="0" fillId="0" borderId="5" xfId="0" applyNumberFormat="1" applyBorder="1"/>
    <xf numFmtId="188" fontId="6" fillId="0" borderId="5" xfId="0" applyNumberFormat="1" applyFont="1" applyBorder="1"/>
    <xf numFmtId="10" fontId="0" fillId="0" borderId="5" xfId="0" applyNumberFormat="1" applyBorder="1" applyAlignment="1">
      <alignment horizontal="center"/>
    </xf>
    <xf numFmtId="0" fontId="0" fillId="0" borderId="8" xfId="0" applyBorder="1"/>
    <xf numFmtId="188" fontId="0" fillId="0" borderId="7" xfId="2" applyFont="1" applyFill="1" applyBorder="1" applyAlignment="1">
      <alignment horizontal="center" vertical="center"/>
    </xf>
    <xf numFmtId="4" fontId="0" fillId="0" borderId="7" xfId="0" applyNumberFormat="1" applyBorder="1"/>
    <xf numFmtId="15" fontId="0" fillId="0" borderId="7" xfId="0" applyNumberFormat="1" applyBorder="1"/>
    <xf numFmtId="0" fontId="0" fillId="0" borderId="7" xfId="0" applyBorder="1"/>
    <xf numFmtId="189" fontId="6" fillId="0" borderId="4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/>
    </xf>
    <xf numFmtId="188" fontId="0" fillId="0" borderId="7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189" fontId="5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iraxsarco.sharepoint.com/teams/CHX_CHXThailand-Projects/Shared%20Documents/General/Projects/Job%20Files/01_APAC%20Work%20Order%20Status/APAC%20Project%20Management/APAC%20Project%20Orders/APAC%20Project%20Orders.xlsx" TargetMode="External"/><Relationship Id="rId1" Type="http://schemas.openxmlformats.org/officeDocument/2006/relationships/externalLinkPath" Target="/teams/CHX_CHXThailand-Projects/Shared%20Documents/General/Projects/Job%20Files/01_APAC%20Work%20Order%20Status/APAC%20Project%20Management/APAC%20Project%20Orders/APAC%20Project%20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kqn9vo-YUy-VLw1cy2Ipz2Y7YRTA5lFhq-RuJ_NkfFA2VIpF1-mRqASJlg4VYhR" itemId="01IQTZ7ZDXU427BCGFHZDYZWX2JTZNJI7L">
      <xxl21:absoluteUrl r:id="rId2"/>
    </xxl21:alternateUrls>
    <sheetNames>
      <sheetName val="Detail Sheet"/>
      <sheetName val="Summary Sheet"/>
      <sheetName val="Shipped 2025"/>
      <sheetName val="Shipped 2024"/>
      <sheetName val="JDE Status"/>
    </sheetNames>
    <sheetDataSet>
      <sheetData sheetId="0">
        <row r="1">
          <cell r="C1" t="str">
            <v>SO#</v>
          </cell>
          <cell r="D1" t="str">
            <v>Customer</v>
          </cell>
          <cell r="E1" t="str">
            <v>Project</v>
          </cell>
          <cell r="F1" t="str">
            <v>Customer PO</v>
          </cell>
          <cell r="G1" t="str">
            <v>Value of the contract</v>
          </cell>
          <cell r="H1" t="str">
            <v>PO Date</v>
          </cell>
          <cell r="I1" t="str">
            <v>Original Delivery Date</v>
          </cell>
          <cell r="J1" t="str">
            <v>Days late</v>
          </cell>
          <cell r="K1" t="str">
            <v>Current estimated delivery date</v>
          </cell>
        </row>
        <row r="2">
          <cell r="C2">
            <v>2562773</v>
          </cell>
          <cell r="D2" t="str">
            <v>Hyundai Engineering &amp; Construction Co.</v>
          </cell>
          <cell r="E2" t="str">
            <v>SMJ12</v>
          </cell>
          <cell r="F2" t="str">
            <v>SM12-MS-PO-015-4600063911</v>
          </cell>
          <cell r="G2">
            <v>3748857</v>
          </cell>
          <cell r="H2">
            <v>44676</v>
          </cell>
          <cell r="I2">
            <v>45160</v>
          </cell>
          <cell r="J2">
            <v>764</v>
          </cell>
          <cell r="K2">
            <v>45899</v>
          </cell>
        </row>
        <row r="3">
          <cell r="C3">
            <v>2469066</v>
          </cell>
          <cell r="D3" t="str">
            <v>Hyundai Engineering &amp; Construction Co.</v>
          </cell>
          <cell r="E3" t="str">
            <v>MIP6</v>
          </cell>
          <cell r="F3" t="str">
            <v>MIP6-MS-PO-008-4600060897</v>
          </cell>
          <cell r="G3">
            <v>1930000</v>
          </cell>
          <cell r="H3">
            <v>43949</v>
          </cell>
          <cell r="I3">
            <v>44656</v>
          </cell>
          <cell r="J3">
            <v>1268</v>
          </cell>
          <cell r="K3">
            <v>45930</v>
          </cell>
        </row>
        <row r="4">
          <cell r="C4">
            <v>2597904</v>
          </cell>
          <cell r="D4" t="str">
            <v>Ntech Co., Ltd.</v>
          </cell>
          <cell r="E4" t="str">
            <v>Yeosu Industrial Complex Steam Boiler Project</v>
          </cell>
          <cell r="F4" t="str">
            <v>23KWS0302-01-R1</v>
          </cell>
          <cell r="G4">
            <v>174100</v>
          </cell>
          <cell r="H4">
            <v>44987</v>
          </cell>
          <cell r="I4">
            <v>45160</v>
          </cell>
          <cell r="J4">
            <v>764</v>
          </cell>
          <cell r="K4">
            <v>45848</v>
          </cell>
        </row>
        <row r="5">
          <cell r="C5">
            <v>2601472</v>
          </cell>
          <cell r="D5" t="str">
            <v>NOV</v>
          </cell>
          <cell r="E5" t="str">
            <v>Shell CRUX</v>
          </cell>
          <cell r="F5" t="str">
            <v>17187-LOI-001</v>
          </cell>
          <cell r="G5">
            <v>1320455</v>
          </cell>
          <cell r="H5">
            <v>45022</v>
          </cell>
          <cell r="I5">
            <v>45365</v>
          </cell>
          <cell r="J5">
            <v>559</v>
          </cell>
          <cell r="K5">
            <v>45833</v>
          </cell>
        </row>
        <row r="6">
          <cell r="C6">
            <v>2607851</v>
          </cell>
          <cell r="D6" t="str">
            <v>McDermott</v>
          </cell>
          <cell r="E6" t="str">
            <v>Scarborough FPU Hull</v>
          </cell>
          <cell r="F6" t="str">
            <v>R3973-PO-112511-002</v>
          </cell>
          <cell r="G6">
            <v>887870</v>
          </cell>
          <cell r="H6">
            <v>45085</v>
          </cell>
          <cell r="I6">
            <v>45402</v>
          </cell>
          <cell r="J6">
            <v>522</v>
          </cell>
          <cell r="K6">
            <v>45868</v>
          </cell>
        </row>
        <row r="7">
          <cell r="C7">
            <v>2598331</v>
          </cell>
          <cell r="D7" t="str">
            <v>JGC Corporation</v>
          </cell>
          <cell r="E7" t="str">
            <v>Zuluf Project</v>
          </cell>
          <cell r="F7" t="str">
            <v>0-8887-2-P-2153-301-A</v>
          </cell>
          <cell r="G7">
            <v>2762000</v>
          </cell>
          <cell r="H7">
            <v>44994</v>
          </cell>
          <cell r="I7">
            <v>45534</v>
          </cell>
          <cell r="J7">
            <v>390</v>
          </cell>
          <cell r="K7">
            <v>45961</v>
          </cell>
        </row>
        <row r="8">
          <cell r="C8">
            <v>2613123</v>
          </cell>
          <cell r="D8" t="str">
            <v>Koren Midland International</v>
          </cell>
          <cell r="E8" t="str">
            <v>SK Incheon Complex</v>
          </cell>
          <cell r="F8" t="str">
            <v>KMI_230803-SKINCHEON</v>
          </cell>
          <cell r="G8">
            <v>289495</v>
          </cell>
          <cell r="H8">
            <v>45145</v>
          </cell>
          <cell r="I8">
            <v>45509</v>
          </cell>
          <cell r="J8">
            <v>415</v>
          </cell>
          <cell r="K8">
            <v>45874</v>
          </cell>
        </row>
        <row r="9">
          <cell r="C9" t="str">
            <v>2682339
2667847
2668520
2672387</v>
          </cell>
          <cell r="D9" t="str">
            <v>HBP</v>
          </cell>
          <cell r="E9" t="str">
            <v>Majilu</v>
          </cell>
          <cell r="F9" t="str">
            <v>3020259900206
3020249900587</v>
          </cell>
          <cell r="G9">
            <v>148171.93</v>
          </cell>
          <cell r="H9" t="str">
            <v>2025-01
2025-06</v>
          </cell>
          <cell r="I9">
            <v>45868</v>
          </cell>
          <cell r="K9" t="str">
            <v>2025/7</v>
          </cell>
        </row>
        <row r="10">
          <cell r="C10">
            <v>2621640</v>
          </cell>
          <cell r="D10" t="str">
            <v>GS Caltex Corporation</v>
          </cell>
          <cell r="E10" t="str">
            <v>714-EH-102</v>
          </cell>
          <cell r="F10">
            <v>4550065454</v>
          </cell>
          <cell r="G10">
            <v>603188</v>
          </cell>
          <cell r="H10">
            <v>45225</v>
          </cell>
          <cell r="I10">
            <v>45569</v>
          </cell>
          <cell r="J10">
            <v>355</v>
          </cell>
          <cell r="K10">
            <v>46032</v>
          </cell>
        </row>
        <row r="11">
          <cell r="C11">
            <v>2629664</v>
          </cell>
          <cell r="D11" t="str">
            <v>Bumhan Mecatec Co.,Ltd</v>
          </cell>
          <cell r="E11" t="str">
            <v>Bumhan</v>
          </cell>
          <cell r="F11">
            <v>4020192198</v>
          </cell>
          <cell r="G11">
            <v>464500</v>
          </cell>
          <cell r="H11">
            <v>45305</v>
          </cell>
          <cell r="I11">
            <v>45804</v>
          </cell>
          <cell r="J11">
            <v>120</v>
          </cell>
          <cell r="K11">
            <v>46021</v>
          </cell>
        </row>
        <row r="12">
          <cell r="C12">
            <v>2641751</v>
          </cell>
          <cell r="D12" t="str">
            <v>Eng3nium</v>
          </cell>
          <cell r="E12" t="str">
            <v>Petronas</v>
          </cell>
          <cell r="F12" t="str">
            <v>AP077CHX01</v>
          </cell>
          <cell r="G12">
            <v>60000</v>
          </cell>
          <cell r="H12">
            <v>45406</v>
          </cell>
          <cell r="I12">
            <v>45630</v>
          </cell>
          <cell r="J12">
            <v>294</v>
          </cell>
          <cell r="K12">
            <v>45869</v>
          </cell>
        </row>
        <row r="13">
          <cell r="C13">
            <v>2664196</v>
          </cell>
          <cell r="D13" t="str">
            <v>Uniquip</v>
          </cell>
          <cell r="E13" t="str">
            <v>Direct MCH Large Scale Demonstation Project</v>
          </cell>
          <cell r="F13" t="str">
            <v>C0263/A</v>
          </cell>
          <cell r="G13">
            <v>207000</v>
          </cell>
          <cell r="H13">
            <v>45635</v>
          </cell>
          <cell r="I13">
            <v>45852</v>
          </cell>
          <cell r="J13">
            <v>72</v>
          </cell>
          <cell r="K13">
            <v>45846</v>
          </cell>
        </row>
        <row r="14">
          <cell r="C14">
            <v>2672095</v>
          </cell>
          <cell r="D14" t="str">
            <v>PISANU</v>
          </cell>
          <cell r="E14" t="str">
            <v xml:space="preserve">Replacement control panel  67kW and 217kW </v>
          </cell>
          <cell r="F14" t="str">
            <v>038/25</v>
          </cell>
          <cell r="G14">
            <v>86390</v>
          </cell>
          <cell r="H14">
            <v>45712</v>
          </cell>
          <cell r="I14">
            <v>45930</v>
          </cell>
          <cell r="J14">
            <v>-6</v>
          </cell>
          <cell r="K14">
            <v>46016</v>
          </cell>
        </row>
        <row r="15">
          <cell r="C15">
            <v>2666337</v>
          </cell>
          <cell r="D15" t="str">
            <v>Eng3nium</v>
          </cell>
          <cell r="E15" t="str">
            <v>Petronas</v>
          </cell>
          <cell r="F15" t="str">
            <v>AP086POCHX01</v>
          </cell>
          <cell r="G15">
            <v>170500</v>
          </cell>
          <cell r="H15">
            <v>45664</v>
          </cell>
          <cell r="I15">
            <v>45869</v>
          </cell>
          <cell r="J15">
            <v>55</v>
          </cell>
          <cell r="K15">
            <v>45930</v>
          </cell>
        </row>
        <row r="16">
          <cell r="C16">
            <v>2674454</v>
          </cell>
          <cell r="D16" t="str">
            <v>Eng3nium</v>
          </cell>
          <cell r="E16" t="str">
            <v>PCMTBE_PHASE 2 HEATER PANEL REPLACEMENT</v>
          </cell>
          <cell r="F16" t="str">
            <v>AP082POCHX01</v>
          </cell>
          <cell r="G16">
            <v>206000</v>
          </cell>
          <cell r="H16" t="str">
            <v>19/1/2025</v>
          </cell>
          <cell r="I16">
            <v>45958</v>
          </cell>
          <cell r="J16">
            <v>-34</v>
          </cell>
          <cell r="K16">
            <v>45958</v>
          </cell>
        </row>
        <row r="17">
          <cell r="C17">
            <v>2684830</v>
          </cell>
          <cell r="D17" t="str">
            <v>Seatrium</v>
          </cell>
          <cell r="E17" t="str">
            <v>ME022 ELECTRIC HEATER | PR 3800110050</v>
          </cell>
          <cell r="F17" t="str">
            <v>S009075903</v>
          </cell>
          <cell r="G17">
            <v>843115</v>
          </cell>
          <cell r="H17">
            <v>45828</v>
          </cell>
          <cell r="I17">
            <v>46195</v>
          </cell>
          <cell r="K17">
            <v>46195</v>
          </cell>
        </row>
        <row r="18">
          <cell r="C18">
            <v>2681269</v>
          </cell>
          <cell r="D18" t="str">
            <v>Lumax</v>
          </cell>
          <cell r="E18" t="str">
            <v>NEW ORDER OP-LT25103656 Replacement</v>
          </cell>
          <cell r="F18" t="str">
            <v>OP-LT25103656</v>
          </cell>
          <cell r="G18">
            <v>470266</v>
          </cell>
          <cell r="H18">
            <v>45806</v>
          </cell>
          <cell r="I18">
            <v>46331</v>
          </cell>
          <cell r="K18">
            <v>46331</v>
          </cell>
        </row>
        <row r="19">
          <cell r="C19">
            <v>2685833</v>
          </cell>
          <cell r="D19" t="str">
            <v>Eng3nium</v>
          </cell>
          <cell r="E19" t="str">
            <v>270 kW Replacement heater and control panel (Z67559)</v>
          </cell>
          <cell r="F19" t="str">
            <v>AP090-PO-CHX-01</v>
          </cell>
          <cell r="G19">
            <v>143820</v>
          </cell>
          <cell r="H19">
            <v>45860</v>
          </cell>
          <cell r="I19">
            <v>46076</v>
          </cell>
          <cell r="K19">
            <v>46076</v>
          </cell>
        </row>
        <row r="20">
          <cell r="F20" t="str">
            <v>Total Value</v>
          </cell>
          <cell r="G20">
            <v>13058526.93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4591-71B4-4B5F-84FA-72145AEDE06D}">
  <dimension ref="A1:AE34"/>
  <sheetViews>
    <sheetView zoomScale="85" zoomScaleNormal="85" workbookViewId="0">
      <selection activeCell="E10" sqref="E10"/>
    </sheetView>
  </sheetViews>
  <sheetFormatPr defaultRowHeight="15" customHeight="1"/>
  <cols>
    <col min="1" max="2" width="16.375" customWidth="1"/>
    <col min="3" max="3" width="16.125" customWidth="1"/>
    <col min="4" max="4" width="38.375" customWidth="1"/>
    <col min="5" max="5" width="50.875" customWidth="1"/>
    <col min="6" max="6" width="16.625" customWidth="1"/>
    <col min="8" max="10" width="16.625" customWidth="1"/>
    <col min="11" max="11" width="7.375" customWidth="1"/>
    <col min="12" max="12" width="17" bestFit="1" customWidth="1"/>
    <col min="13" max="13" width="17.625" customWidth="1"/>
    <col min="14" max="16" width="15.875" customWidth="1"/>
    <col min="17" max="17" width="21.625" customWidth="1"/>
    <col min="18" max="18" width="14.625" bestFit="1" customWidth="1"/>
    <col min="19" max="19" width="21.625" bestFit="1" customWidth="1"/>
    <col min="20" max="21" width="18.875" customWidth="1"/>
    <col min="22" max="22" width="10.375" customWidth="1"/>
    <col min="23" max="23" width="19.875" customWidth="1"/>
    <col min="25" max="25" width="17.625" customWidth="1"/>
    <col min="26" max="26" width="15.375" customWidth="1"/>
    <col min="27" max="27" width="18.375" customWidth="1"/>
    <col min="28" max="28" width="18.125" bestFit="1" customWidth="1"/>
    <col min="29" max="29" width="13.375" customWidth="1"/>
    <col min="30" max="30" width="20.875" bestFit="1" customWidth="1"/>
  </cols>
  <sheetData>
    <row r="1" spans="1:31" ht="14.1">
      <c r="A1" s="6" t="s">
        <v>0</v>
      </c>
      <c r="B1" s="3" t="s">
        <v>1</v>
      </c>
      <c r="C1" s="6" t="s">
        <v>2</v>
      </c>
      <c r="D1" s="6" t="s">
        <v>3</v>
      </c>
      <c r="E1" s="6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6" t="s">
        <v>21</v>
      </c>
      <c r="W1" s="6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ht="14.45">
      <c r="A2" s="3" t="s">
        <v>31</v>
      </c>
      <c r="B2" s="3">
        <v>2023</v>
      </c>
      <c r="C2" s="3">
        <v>18210304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8" t="s">
        <v>37</v>
      </c>
      <c r="J2" s="3"/>
      <c r="K2" s="3">
        <v>3</v>
      </c>
      <c r="L2" s="8">
        <v>2363614.4500000002</v>
      </c>
      <c r="M2" s="8" t="s">
        <v>38</v>
      </c>
      <c r="N2" s="9">
        <v>0</v>
      </c>
      <c r="O2" s="8" t="s">
        <v>39</v>
      </c>
      <c r="P2" s="8">
        <f>N2*L2</f>
        <v>0</v>
      </c>
      <c r="Q2" s="8">
        <v>0</v>
      </c>
      <c r="R2" s="8" t="s">
        <v>39</v>
      </c>
      <c r="S2" s="8">
        <v>0</v>
      </c>
      <c r="T2" s="8" t="s">
        <v>39</v>
      </c>
      <c r="U2" s="8">
        <v>0</v>
      </c>
      <c r="V2" s="1">
        <v>45121</v>
      </c>
      <c r="W2" s="1">
        <v>45464</v>
      </c>
      <c r="X2" s="10">
        <f>Z2-W2</f>
        <v>470</v>
      </c>
      <c r="Y2" s="1" t="e">
        <f>VLOOKUP(C2,'[1]Detail Sheet'!$C:$K,9,0)</f>
        <v>#N/A</v>
      </c>
      <c r="Z2" s="1">
        <v>45934</v>
      </c>
      <c r="AA2" s="23">
        <v>979461.15</v>
      </c>
      <c r="AB2" s="3" t="s">
        <v>40</v>
      </c>
      <c r="AC2" s="3" t="s">
        <v>41</v>
      </c>
      <c r="AD2" s="3">
        <v>100</v>
      </c>
      <c r="AE2" s="11">
        <v>1</v>
      </c>
    </row>
    <row r="3" spans="1:31" ht="14.45">
      <c r="A3" s="3" t="s">
        <v>31</v>
      </c>
      <c r="B3" s="3">
        <v>2023</v>
      </c>
      <c r="C3" s="3">
        <v>18210304</v>
      </c>
      <c r="D3" s="3" t="s">
        <v>32</v>
      </c>
      <c r="E3" s="3" t="s">
        <v>33</v>
      </c>
      <c r="F3" s="3" t="s">
        <v>42</v>
      </c>
      <c r="G3" s="3" t="s">
        <v>35</v>
      </c>
      <c r="H3" s="3" t="s">
        <v>36</v>
      </c>
      <c r="I3" s="8" t="s">
        <v>37</v>
      </c>
      <c r="J3" s="3"/>
      <c r="K3" s="3">
        <v>3</v>
      </c>
      <c r="L3" s="8">
        <v>0</v>
      </c>
      <c r="M3" s="8" t="s">
        <v>38</v>
      </c>
      <c r="N3" s="9">
        <v>0</v>
      </c>
      <c r="O3" s="8" t="s">
        <v>39</v>
      </c>
      <c r="P3" s="8">
        <v>0</v>
      </c>
      <c r="Q3" s="8">
        <v>0</v>
      </c>
      <c r="R3" s="8" t="s">
        <v>43</v>
      </c>
      <c r="S3" s="8">
        <v>19003</v>
      </c>
      <c r="T3" s="8" t="s">
        <v>39</v>
      </c>
      <c r="U3" s="8">
        <v>0</v>
      </c>
      <c r="V3" s="1">
        <v>45121</v>
      </c>
      <c r="W3" s="1">
        <v>45464</v>
      </c>
      <c r="X3" s="10">
        <f>Z3-W3</f>
        <v>453</v>
      </c>
      <c r="Y3" s="1" t="e">
        <f>VLOOKUP(C3,'[1]Detail Sheet'!$C:$K,9,0)</f>
        <v>#N/A</v>
      </c>
      <c r="Z3" s="1">
        <v>45917</v>
      </c>
      <c r="AA3" s="8">
        <v>0</v>
      </c>
      <c r="AB3" s="3" t="s">
        <v>40</v>
      </c>
      <c r="AC3" s="3" t="s">
        <v>41</v>
      </c>
      <c r="AD3" s="3">
        <v>100</v>
      </c>
      <c r="AE3" s="11">
        <v>1</v>
      </c>
    </row>
    <row r="4" spans="1:31" ht="14.45">
      <c r="A4" s="7" t="s">
        <v>31</v>
      </c>
      <c r="B4" s="7">
        <v>2023</v>
      </c>
      <c r="C4" s="7">
        <v>18291861</v>
      </c>
      <c r="D4" s="7" t="s">
        <v>44</v>
      </c>
      <c r="E4" s="7" t="s">
        <v>45</v>
      </c>
      <c r="F4" s="7" t="s">
        <v>34</v>
      </c>
      <c r="G4" s="7" t="s">
        <v>46</v>
      </c>
      <c r="H4" s="7" t="s">
        <v>36</v>
      </c>
      <c r="I4" s="7" t="s">
        <v>47</v>
      </c>
      <c r="J4" s="7"/>
      <c r="K4" s="7">
        <v>1</v>
      </c>
      <c r="L4" s="67">
        <v>518196.05</v>
      </c>
      <c r="M4" s="67" t="s">
        <v>47</v>
      </c>
      <c r="N4" s="68">
        <v>0</v>
      </c>
      <c r="O4" s="67" t="s">
        <v>39</v>
      </c>
      <c r="P4" s="67">
        <v>0</v>
      </c>
      <c r="Q4" s="67">
        <v>0</v>
      </c>
      <c r="R4" s="67" t="s">
        <v>39</v>
      </c>
      <c r="S4" s="67">
        <v>0</v>
      </c>
      <c r="T4" s="67" t="s">
        <v>39</v>
      </c>
      <c r="U4" s="67">
        <v>0</v>
      </c>
      <c r="V4" s="69">
        <v>45244</v>
      </c>
      <c r="W4" s="69">
        <v>45608</v>
      </c>
      <c r="X4" s="70">
        <f ca="1">TODAY()-W4</f>
        <v>378</v>
      </c>
      <c r="Y4" s="71" t="e">
        <f>VLOOKUP(C4,'[1]Detail Sheet'!$C:$K,9,0)</f>
        <v>#N/A</v>
      </c>
      <c r="Z4" s="7"/>
      <c r="AA4" s="67">
        <v>518196.05</v>
      </c>
      <c r="AB4" s="7" t="s">
        <v>48</v>
      </c>
      <c r="AC4" s="7" t="s">
        <v>41</v>
      </c>
      <c r="AD4" s="7">
        <v>100</v>
      </c>
      <c r="AE4" s="11">
        <v>1</v>
      </c>
    </row>
    <row r="5" spans="1:31" ht="14.45">
      <c r="A5" s="3" t="s">
        <v>31</v>
      </c>
      <c r="B5" s="3">
        <v>2024</v>
      </c>
      <c r="C5" s="3">
        <v>18407648</v>
      </c>
      <c r="D5" s="3" t="s">
        <v>49</v>
      </c>
      <c r="E5" s="3" t="s">
        <v>50</v>
      </c>
      <c r="F5" s="3" t="s">
        <v>34</v>
      </c>
      <c r="G5" s="3" t="s">
        <v>35</v>
      </c>
      <c r="H5" s="3" t="s">
        <v>36</v>
      </c>
      <c r="I5" s="3" t="s">
        <v>37</v>
      </c>
      <c r="J5" s="3"/>
      <c r="K5" s="3">
        <v>4</v>
      </c>
      <c r="L5" s="8">
        <v>831455</v>
      </c>
      <c r="M5" s="8" t="s">
        <v>37</v>
      </c>
      <c r="N5" s="9">
        <v>-0.05</v>
      </c>
      <c r="O5" s="8" t="s">
        <v>43</v>
      </c>
      <c r="P5" s="8">
        <f>N5*L5</f>
        <v>-41572.75</v>
      </c>
      <c r="Q5" s="8">
        <v>0</v>
      </c>
      <c r="R5" s="8" t="s">
        <v>39</v>
      </c>
      <c r="S5" s="8">
        <v>0</v>
      </c>
      <c r="T5" s="8" t="s">
        <v>39</v>
      </c>
      <c r="U5" s="8">
        <v>0</v>
      </c>
      <c r="V5" s="2">
        <v>45404</v>
      </c>
      <c r="W5" s="2">
        <v>45845</v>
      </c>
      <c r="X5" s="10">
        <f ca="1">TODAY()-W5</f>
        <v>141</v>
      </c>
      <c r="Y5" s="1" t="e">
        <f>VLOOKUP(C5,'[1]Detail Sheet'!$C:$K,9,0)</f>
        <v>#N/A</v>
      </c>
      <c r="Z5" s="3"/>
      <c r="AA5" s="23">
        <v>498873</v>
      </c>
      <c r="AB5" s="3" t="s">
        <v>51</v>
      </c>
      <c r="AC5" s="3" t="s">
        <v>52</v>
      </c>
      <c r="AD5" s="3">
        <v>16</v>
      </c>
      <c r="AE5" s="11">
        <v>0.2</v>
      </c>
    </row>
    <row r="6" spans="1:31" ht="14.45">
      <c r="A6" s="3" t="s">
        <v>31</v>
      </c>
      <c r="B6" s="3">
        <v>2024</v>
      </c>
      <c r="C6" s="3">
        <v>18492257</v>
      </c>
      <c r="D6" s="3" t="s">
        <v>53</v>
      </c>
      <c r="E6" s="3" t="s">
        <v>54</v>
      </c>
      <c r="F6" s="3" t="s">
        <v>34</v>
      </c>
      <c r="G6" s="3" t="s">
        <v>46</v>
      </c>
      <c r="H6" s="3" t="s">
        <v>55</v>
      </c>
      <c r="I6" s="3" t="s">
        <v>47</v>
      </c>
      <c r="J6" s="3"/>
      <c r="K6" s="3">
        <v>1</v>
      </c>
      <c r="L6" s="17">
        <v>107400</v>
      </c>
      <c r="M6" s="17" t="s">
        <v>47</v>
      </c>
      <c r="N6" s="72">
        <v>-0.05</v>
      </c>
      <c r="O6" s="17" t="s">
        <v>39</v>
      </c>
      <c r="P6" s="17">
        <v>0</v>
      </c>
      <c r="Q6" s="17">
        <f>(1366+2629.9)*-1.12</f>
        <v>-4475.4080000000004</v>
      </c>
      <c r="R6" s="17" t="s">
        <v>43</v>
      </c>
      <c r="S6" s="17">
        <v>6000</v>
      </c>
      <c r="T6" s="17" t="s">
        <v>43</v>
      </c>
      <c r="U6" s="17">
        <v>0</v>
      </c>
      <c r="V6" s="2">
        <v>45505</v>
      </c>
      <c r="W6" s="2">
        <v>45729</v>
      </c>
      <c r="X6" s="10">
        <f ca="1">TODAY()-W6</f>
        <v>257</v>
      </c>
      <c r="Y6" s="1" t="e">
        <f>VLOOKUP(C6,'[1]Detail Sheet'!$C:$K,9,0)</f>
        <v>#N/A</v>
      </c>
      <c r="Z6" s="3"/>
      <c r="AA6" s="17">
        <v>60860</v>
      </c>
      <c r="AB6" s="3" t="s">
        <v>56</v>
      </c>
      <c r="AC6" s="3" t="s">
        <v>52</v>
      </c>
      <c r="AD6" s="3">
        <v>100</v>
      </c>
      <c r="AE6" s="11">
        <v>0.95</v>
      </c>
    </row>
    <row r="7" spans="1:31" ht="14.45">
      <c r="A7" s="7" t="s">
        <v>31</v>
      </c>
      <c r="B7" s="7">
        <v>2024</v>
      </c>
      <c r="C7" s="7">
        <v>18492257</v>
      </c>
      <c r="D7" s="7" t="s">
        <v>53</v>
      </c>
      <c r="E7" s="7" t="s">
        <v>54</v>
      </c>
      <c r="F7" s="7" t="s">
        <v>42</v>
      </c>
      <c r="G7" s="7" t="s">
        <v>46</v>
      </c>
      <c r="H7" s="7" t="s">
        <v>57</v>
      </c>
      <c r="I7" s="7" t="s">
        <v>47</v>
      </c>
      <c r="J7" s="7"/>
      <c r="K7" s="7">
        <v>1</v>
      </c>
      <c r="L7" s="67">
        <v>0</v>
      </c>
      <c r="M7" s="67" t="s">
        <v>47</v>
      </c>
      <c r="N7" s="68">
        <v>0</v>
      </c>
      <c r="O7" s="67" t="s">
        <v>39</v>
      </c>
      <c r="P7" s="67">
        <v>0</v>
      </c>
      <c r="Q7" s="67">
        <v>0</v>
      </c>
      <c r="R7" s="67" t="s">
        <v>43</v>
      </c>
      <c r="S7" s="67">
        <v>0</v>
      </c>
      <c r="T7" s="67" t="s">
        <v>39</v>
      </c>
      <c r="U7" s="67">
        <v>0</v>
      </c>
      <c r="V7" s="69">
        <v>45505</v>
      </c>
      <c r="W7" s="69">
        <v>45729</v>
      </c>
      <c r="X7" s="70"/>
      <c r="Y7" s="71" t="e">
        <f>VLOOKUP(C7,'[1]Detail Sheet'!$C:$K,9,0)</f>
        <v>#N/A</v>
      </c>
      <c r="Z7" s="7"/>
      <c r="AA7" s="67">
        <v>46540</v>
      </c>
      <c r="AB7" s="7" t="s">
        <v>48</v>
      </c>
      <c r="AC7" s="7" t="s">
        <v>41</v>
      </c>
      <c r="AD7" s="7">
        <v>100</v>
      </c>
      <c r="AE7" s="11">
        <v>1</v>
      </c>
    </row>
    <row r="8" spans="1:31" ht="14.45">
      <c r="A8" s="3" t="s">
        <v>31</v>
      </c>
      <c r="B8" s="3">
        <v>2025</v>
      </c>
      <c r="C8" s="3">
        <v>18664359</v>
      </c>
      <c r="D8" s="3" t="s">
        <v>53</v>
      </c>
      <c r="E8" s="3" t="s">
        <v>54</v>
      </c>
      <c r="F8" s="3" t="s">
        <v>34</v>
      </c>
      <c r="G8" s="3" t="s">
        <v>46</v>
      </c>
      <c r="H8" s="3" t="s">
        <v>55</v>
      </c>
      <c r="I8" s="3" t="s">
        <v>47</v>
      </c>
      <c r="J8" s="3"/>
      <c r="K8" s="3">
        <v>1</v>
      </c>
      <c r="L8" s="8">
        <v>286400</v>
      </c>
      <c r="M8" s="8" t="s">
        <v>47</v>
      </c>
      <c r="N8" s="9">
        <v>-0.05</v>
      </c>
      <c r="O8" s="8" t="s">
        <v>39</v>
      </c>
      <c r="P8" s="8">
        <f>N8*L8</f>
        <v>-14320</v>
      </c>
      <c r="Q8" s="8">
        <v>0</v>
      </c>
      <c r="R8" s="8" t="s">
        <v>43</v>
      </c>
      <c r="S8" s="8">
        <v>10500</v>
      </c>
      <c r="T8" s="8" t="s">
        <v>39</v>
      </c>
      <c r="U8" s="8">
        <v>0</v>
      </c>
      <c r="V8" s="2">
        <v>45763</v>
      </c>
      <c r="W8" s="2">
        <v>45968</v>
      </c>
      <c r="X8" s="10">
        <f ca="1">TODAY()-W8</f>
        <v>18</v>
      </c>
      <c r="Y8" s="1" t="e">
        <f>VLOOKUP(C8,'[1]Detail Sheet'!$C:$K,9,0)</f>
        <v>#N/A</v>
      </c>
      <c r="Z8" s="3"/>
      <c r="AA8" s="8">
        <v>286400</v>
      </c>
      <c r="AB8" s="3" t="s">
        <v>58</v>
      </c>
      <c r="AC8" s="3" t="s">
        <v>52</v>
      </c>
      <c r="AD8" s="3">
        <v>90</v>
      </c>
      <c r="AE8" s="11">
        <v>0.8</v>
      </c>
    </row>
    <row r="9" spans="1:31" ht="14.45">
      <c r="A9" s="3" t="s">
        <v>31</v>
      </c>
      <c r="B9" s="3">
        <v>2025</v>
      </c>
      <c r="C9" s="3">
        <v>18721178</v>
      </c>
      <c r="D9" s="3" t="s">
        <v>53</v>
      </c>
      <c r="E9" s="3" t="s">
        <v>59</v>
      </c>
      <c r="F9" s="3" t="s">
        <v>42</v>
      </c>
      <c r="G9" s="3" t="s">
        <v>46</v>
      </c>
      <c r="H9" s="3" t="s">
        <v>57</v>
      </c>
      <c r="I9" s="3" t="s">
        <v>47</v>
      </c>
      <c r="J9" s="3"/>
      <c r="K9" s="3">
        <v>4</v>
      </c>
      <c r="L9" s="8">
        <v>368740</v>
      </c>
      <c r="M9" s="8" t="s">
        <v>47</v>
      </c>
      <c r="N9" s="9">
        <v>-0.05</v>
      </c>
      <c r="O9" s="8" t="s">
        <v>39</v>
      </c>
      <c r="P9" s="8">
        <f>N9*L9</f>
        <v>-18437</v>
      </c>
      <c r="Q9" s="8">
        <v>0</v>
      </c>
      <c r="R9" s="8" t="s">
        <v>39</v>
      </c>
      <c r="S9" s="8">
        <v>0</v>
      </c>
      <c r="T9" s="8" t="s">
        <v>39</v>
      </c>
      <c r="U9" s="8">
        <v>0</v>
      </c>
      <c r="V9" s="2">
        <v>45775</v>
      </c>
      <c r="W9" s="2">
        <v>46057</v>
      </c>
      <c r="X9" s="10">
        <f ca="1">TODAY()-W9</f>
        <v>-71</v>
      </c>
      <c r="Y9" s="1" t="e">
        <f>VLOOKUP(C9,'[1]Detail Sheet'!$C:$K,9,0)</f>
        <v>#N/A</v>
      </c>
      <c r="Z9" s="3"/>
      <c r="AA9" s="8">
        <v>0</v>
      </c>
      <c r="AB9" s="3" t="s">
        <v>60</v>
      </c>
      <c r="AC9" s="3" t="s">
        <v>61</v>
      </c>
      <c r="AD9" s="3">
        <v>45</v>
      </c>
      <c r="AE9" s="11">
        <v>0.5</v>
      </c>
    </row>
    <row r="10" spans="1:31" ht="14.45">
      <c r="A10" s="4" t="s">
        <v>62</v>
      </c>
      <c r="B10" s="4">
        <v>2022</v>
      </c>
      <c r="C10" s="4">
        <v>17939411</v>
      </c>
      <c r="D10" s="4" t="s">
        <v>63</v>
      </c>
      <c r="E10" s="4" t="s">
        <v>64</v>
      </c>
      <c r="F10" s="4" t="s">
        <v>34</v>
      </c>
      <c r="G10" s="3" t="s">
        <v>35</v>
      </c>
      <c r="H10" s="3" t="s">
        <v>36</v>
      </c>
      <c r="I10" s="3" t="s">
        <v>37</v>
      </c>
      <c r="J10" s="3"/>
      <c r="K10" s="22">
        <v>4</v>
      </c>
      <c r="L10" s="17">
        <v>6710454.0300000003</v>
      </c>
      <c r="M10" s="5"/>
      <c r="N10" s="5"/>
      <c r="O10" s="5"/>
      <c r="P10" s="8">
        <v>0</v>
      </c>
      <c r="Q10" s="8">
        <v>0</v>
      </c>
      <c r="R10" s="5"/>
      <c r="S10" s="8">
        <v>0</v>
      </c>
      <c r="T10" s="5"/>
      <c r="U10" s="8">
        <v>0</v>
      </c>
      <c r="V10" s="2">
        <v>44775</v>
      </c>
      <c r="W10" s="20">
        <v>45259</v>
      </c>
      <c r="X10" s="10">
        <f ca="1">TODAY()-W10</f>
        <v>727</v>
      </c>
      <c r="Y10" s="1" t="e">
        <f>VLOOKUP(C10,'[1]Detail Sheet'!$C:$K,9,0)</f>
        <v>#N/A</v>
      </c>
      <c r="Z10" s="5"/>
      <c r="AA10" s="23">
        <v>5872569.3500000006</v>
      </c>
      <c r="AB10" s="3" t="s">
        <v>60</v>
      </c>
      <c r="AC10" s="3" t="s">
        <v>52</v>
      </c>
      <c r="AD10" s="3">
        <v>38</v>
      </c>
      <c r="AE10" s="11">
        <v>0.4</v>
      </c>
    </row>
    <row r="11" spans="1:31" ht="14.45">
      <c r="A11" s="4" t="s">
        <v>62</v>
      </c>
      <c r="B11" s="4">
        <v>2022</v>
      </c>
      <c r="C11" s="4">
        <v>17939411</v>
      </c>
      <c r="D11" s="4" t="s">
        <v>63</v>
      </c>
      <c r="E11" s="4" t="s">
        <v>64</v>
      </c>
      <c r="F11" s="4" t="s">
        <v>42</v>
      </c>
      <c r="G11" s="3" t="s">
        <v>35</v>
      </c>
      <c r="H11" s="3" t="s">
        <v>36</v>
      </c>
      <c r="I11" s="3" t="s">
        <v>37</v>
      </c>
      <c r="J11" s="3"/>
      <c r="K11" s="3">
        <v>1</v>
      </c>
      <c r="L11" s="8">
        <v>0</v>
      </c>
      <c r="M11" s="5"/>
      <c r="N11" s="5"/>
      <c r="O11" s="5"/>
      <c r="P11" s="8">
        <v>0</v>
      </c>
      <c r="Q11" s="8">
        <v>0</v>
      </c>
      <c r="R11" s="5"/>
      <c r="S11" s="8">
        <v>0</v>
      </c>
      <c r="T11" s="5"/>
      <c r="U11" s="8">
        <v>0</v>
      </c>
      <c r="V11" s="2"/>
      <c r="W11" s="2"/>
      <c r="X11" s="5"/>
      <c r="Y11" s="1" t="e">
        <f>VLOOKUP(C11,'[1]Detail Sheet'!$C:$K,9,0)</f>
        <v>#N/A</v>
      </c>
      <c r="Z11" s="5"/>
      <c r="AA11" s="8">
        <v>0</v>
      </c>
      <c r="AB11" s="3" t="s">
        <v>40</v>
      </c>
      <c r="AC11" s="3" t="s">
        <v>41</v>
      </c>
      <c r="AD11" s="3">
        <v>99</v>
      </c>
      <c r="AE11" s="11">
        <v>1</v>
      </c>
    </row>
    <row r="12" spans="1:31" ht="14.45">
      <c r="A12" s="4" t="s">
        <v>62</v>
      </c>
      <c r="B12" s="4">
        <v>2020</v>
      </c>
      <c r="C12" s="4">
        <v>17283462</v>
      </c>
      <c r="D12" s="4" t="s">
        <v>63</v>
      </c>
      <c r="E12" s="13" t="s">
        <v>65</v>
      </c>
      <c r="F12" s="4" t="s">
        <v>34</v>
      </c>
      <c r="G12" s="3" t="s">
        <v>35</v>
      </c>
      <c r="H12" s="3" t="s">
        <v>36</v>
      </c>
      <c r="I12" s="3" t="s">
        <v>37</v>
      </c>
      <c r="J12" s="3"/>
      <c r="K12" s="3">
        <v>4</v>
      </c>
      <c r="L12" s="16">
        <v>3454700</v>
      </c>
      <c r="M12" s="5"/>
      <c r="N12" s="5"/>
      <c r="O12" s="5"/>
      <c r="P12" s="8">
        <v>0</v>
      </c>
      <c r="Q12" s="8">
        <v>0</v>
      </c>
      <c r="R12" s="5"/>
      <c r="S12" s="8">
        <v>0</v>
      </c>
      <c r="T12" s="5"/>
      <c r="U12" s="8">
        <v>0</v>
      </c>
      <c r="V12" s="18">
        <v>44048</v>
      </c>
      <c r="W12" s="21">
        <v>44755</v>
      </c>
      <c r="X12" s="10">
        <f ca="1">TODAY()-W12</f>
        <v>1231</v>
      </c>
      <c r="Y12" s="1" t="e">
        <f>VLOOKUP(C12,'[1]Detail Sheet'!$C:$K,9,0)</f>
        <v>#N/A</v>
      </c>
      <c r="Z12" s="5"/>
      <c r="AA12" s="23">
        <v>2831989.8954000003</v>
      </c>
      <c r="AB12" s="3" t="s">
        <v>60</v>
      </c>
      <c r="AC12" s="3" t="s">
        <v>52</v>
      </c>
      <c r="AD12" s="3">
        <v>38</v>
      </c>
      <c r="AE12" s="11">
        <v>0.4</v>
      </c>
    </row>
    <row r="13" spans="1:31" ht="14.45">
      <c r="A13" s="4" t="s">
        <v>62</v>
      </c>
      <c r="B13" s="4">
        <v>2020</v>
      </c>
      <c r="C13" s="4">
        <v>17283462</v>
      </c>
      <c r="D13" s="4" t="s">
        <v>63</v>
      </c>
      <c r="E13" s="13" t="s">
        <v>65</v>
      </c>
      <c r="F13" s="4" t="s">
        <v>42</v>
      </c>
      <c r="G13" s="3" t="s">
        <v>35</v>
      </c>
      <c r="H13" s="3" t="s">
        <v>36</v>
      </c>
      <c r="I13" s="3" t="s">
        <v>37</v>
      </c>
      <c r="J13" s="3"/>
      <c r="K13" s="3">
        <v>4</v>
      </c>
      <c r="L13" s="8">
        <v>0</v>
      </c>
      <c r="M13" s="5"/>
      <c r="N13" s="5"/>
      <c r="O13" s="5"/>
      <c r="P13" s="8">
        <v>0</v>
      </c>
      <c r="Q13" s="8">
        <v>0</v>
      </c>
      <c r="R13" s="5"/>
      <c r="S13" s="8">
        <v>0</v>
      </c>
      <c r="T13" s="5"/>
      <c r="U13" s="8">
        <v>0</v>
      </c>
      <c r="V13" s="2"/>
      <c r="W13" s="2"/>
      <c r="X13" s="5"/>
      <c r="Y13" s="1" t="e">
        <f>VLOOKUP(C13,'[1]Detail Sheet'!$C:$K,9,0)</f>
        <v>#N/A</v>
      </c>
      <c r="Z13" s="5"/>
      <c r="AA13" s="8">
        <v>0</v>
      </c>
      <c r="AB13" s="3" t="s">
        <v>40</v>
      </c>
      <c r="AC13" s="3" t="s">
        <v>41</v>
      </c>
      <c r="AD13" s="3">
        <v>99</v>
      </c>
      <c r="AE13" s="11">
        <v>1</v>
      </c>
    </row>
    <row r="14" spans="1:31" ht="14.45">
      <c r="A14" s="4" t="s">
        <v>62</v>
      </c>
      <c r="B14" s="4">
        <v>2023</v>
      </c>
      <c r="C14" s="4">
        <v>18254957</v>
      </c>
      <c r="D14" s="13" t="s">
        <v>66</v>
      </c>
      <c r="E14" s="4" t="s">
        <v>67</v>
      </c>
      <c r="F14" s="4" t="s">
        <v>34</v>
      </c>
      <c r="G14" s="3" t="s">
        <v>35</v>
      </c>
      <c r="H14" s="3" t="s">
        <v>36</v>
      </c>
      <c r="I14" s="3" t="s">
        <v>37</v>
      </c>
      <c r="J14" s="3"/>
      <c r="K14" s="3"/>
      <c r="L14" s="16">
        <v>1589287.3</v>
      </c>
      <c r="M14" s="5"/>
      <c r="N14" s="5"/>
      <c r="O14" s="5"/>
      <c r="P14" s="8">
        <v>0</v>
      </c>
      <c r="Q14" s="8">
        <v>0</v>
      </c>
      <c r="R14" s="5"/>
      <c r="S14" s="8">
        <v>0</v>
      </c>
      <c r="T14" s="5"/>
      <c r="U14" s="8">
        <v>0</v>
      </c>
      <c r="V14" s="19">
        <v>45184</v>
      </c>
      <c r="W14" s="20">
        <v>45501</v>
      </c>
      <c r="X14" s="10">
        <f ca="1">TODAY()-W14</f>
        <v>485</v>
      </c>
      <c r="Y14" s="1" t="e">
        <f>VLOOKUP(C14,'[1]Detail Sheet'!$C:$K,9,0)</f>
        <v>#N/A</v>
      </c>
      <c r="Z14" s="5"/>
      <c r="AA14" s="24">
        <v>1294261.29</v>
      </c>
      <c r="AB14" s="3" t="s">
        <v>60</v>
      </c>
      <c r="AC14" s="3" t="s">
        <v>52</v>
      </c>
      <c r="AD14" s="3">
        <v>40</v>
      </c>
      <c r="AE14" s="11">
        <v>0.45</v>
      </c>
    </row>
    <row r="15" spans="1:31" ht="14.45">
      <c r="A15" s="4" t="s">
        <v>62</v>
      </c>
      <c r="B15" s="4">
        <v>2023</v>
      </c>
      <c r="C15" s="4">
        <v>18254957</v>
      </c>
      <c r="D15" s="13" t="s">
        <v>66</v>
      </c>
      <c r="E15" s="4" t="s">
        <v>67</v>
      </c>
      <c r="F15" s="4" t="s">
        <v>42</v>
      </c>
      <c r="G15" s="3" t="s">
        <v>35</v>
      </c>
      <c r="H15" s="3" t="s">
        <v>57</v>
      </c>
      <c r="I15" s="3" t="s">
        <v>37</v>
      </c>
      <c r="J15" s="3"/>
      <c r="K15" s="3"/>
      <c r="L15" s="8">
        <v>0</v>
      </c>
      <c r="M15" s="5"/>
      <c r="N15" s="5"/>
      <c r="O15" s="5"/>
      <c r="P15" s="8">
        <v>0</v>
      </c>
      <c r="Q15" s="8">
        <v>0</v>
      </c>
      <c r="R15" s="5"/>
      <c r="S15" s="8">
        <v>0</v>
      </c>
      <c r="T15" s="5"/>
      <c r="U15" s="8">
        <v>0</v>
      </c>
      <c r="V15" s="2"/>
      <c r="W15" s="2"/>
      <c r="X15" s="5"/>
      <c r="Y15" s="1" t="e">
        <f>VLOOKUP(C15,'[1]Detail Sheet'!$C:$K,9,0)</f>
        <v>#N/A</v>
      </c>
      <c r="Z15" s="5"/>
      <c r="AA15" s="8">
        <v>0</v>
      </c>
      <c r="AB15" s="3" t="s">
        <v>40</v>
      </c>
      <c r="AC15" s="3" t="s">
        <v>41</v>
      </c>
      <c r="AD15" s="3">
        <v>99</v>
      </c>
      <c r="AE15" s="11">
        <v>1</v>
      </c>
    </row>
    <row r="16" spans="1:31" ht="14.45">
      <c r="A16" s="4" t="s">
        <v>62</v>
      </c>
      <c r="B16" s="4">
        <v>2023</v>
      </c>
      <c r="C16" s="4">
        <v>18188317</v>
      </c>
      <c r="D16" s="4" t="s">
        <v>68</v>
      </c>
      <c r="E16" s="13" t="s">
        <v>69</v>
      </c>
      <c r="F16" s="4" t="s">
        <v>34</v>
      </c>
      <c r="G16" s="3" t="s">
        <v>35</v>
      </c>
      <c r="H16" s="3" t="s">
        <v>36</v>
      </c>
      <c r="I16" s="3" t="s">
        <v>37</v>
      </c>
      <c r="J16" s="5"/>
      <c r="K16" s="3">
        <v>1</v>
      </c>
      <c r="L16" s="16">
        <v>4943980</v>
      </c>
      <c r="M16" s="5"/>
      <c r="N16" s="5"/>
      <c r="O16" s="5"/>
      <c r="P16" s="8">
        <v>0</v>
      </c>
      <c r="Q16" s="8">
        <v>0</v>
      </c>
      <c r="R16" s="5"/>
      <c r="S16" s="8">
        <v>0</v>
      </c>
      <c r="T16" s="5"/>
      <c r="U16" s="8">
        <v>0</v>
      </c>
      <c r="V16" s="19">
        <v>45093</v>
      </c>
      <c r="W16" s="20">
        <v>45633</v>
      </c>
      <c r="X16" s="10">
        <f ca="1">TODAY()-W16</f>
        <v>353</v>
      </c>
      <c r="Y16" s="1" t="e">
        <f>VLOOKUP(C16,'[1]Detail Sheet'!$C:$K,9,0)</f>
        <v>#N/A</v>
      </c>
      <c r="Z16" s="5"/>
      <c r="AA16" s="23">
        <v>4943980</v>
      </c>
      <c r="AB16" s="3" t="s">
        <v>60</v>
      </c>
      <c r="AC16" s="3" t="s">
        <v>52</v>
      </c>
      <c r="AD16" s="3">
        <v>16</v>
      </c>
      <c r="AE16" s="11">
        <v>0.2</v>
      </c>
    </row>
    <row r="17" spans="1:31" ht="14.45">
      <c r="A17" s="4" t="s">
        <v>62</v>
      </c>
      <c r="B17" s="4">
        <v>2023</v>
      </c>
      <c r="C17" s="4">
        <v>18188317</v>
      </c>
      <c r="D17" s="4" t="s">
        <v>68</v>
      </c>
      <c r="E17" s="13" t="s">
        <v>69</v>
      </c>
      <c r="F17" s="4" t="s">
        <v>42</v>
      </c>
      <c r="G17" s="3" t="s">
        <v>35</v>
      </c>
      <c r="H17" s="3" t="s">
        <v>57</v>
      </c>
      <c r="I17" s="3" t="s">
        <v>37</v>
      </c>
      <c r="J17" s="5"/>
      <c r="K17" s="22">
        <v>1</v>
      </c>
      <c r="L17" s="8">
        <v>0</v>
      </c>
      <c r="M17" s="5"/>
      <c r="N17" s="5"/>
      <c r="O17" s="5"/>
      <c r="P17" s="8">
        <v>0</v>
      </c>
      <c r="Q17" s="8">
        <v>0</v>
      </c>
      <c r="R17" s="5"/>
      <c r="S17" s="8">
        <v>0</v>
      </c>
      <c r="T17" s="5"/>
      <c r="U17" s="8">
        <v>0</v>
      </c>
      <c r="V17" s="2"/>
      <c r="W17" s="2"/>
      <c r="X17" s="5"/>
      <c r="Y17" s="1" t="e">
        <f>VLOOKUP(C17,'[1]Detail Sheet'!$C:$K,9,0)</f>
        <v>#N/A</v>
      </c>
      <c r="Z17" s="1">
        <v>45933</v>
      </c>
      <c r="AA17" s="8">
        <v>0</v>
      </c>
      <c r="AB17" s="3" t="s">
        <v>40</v>
      </c>
      <c r="AC17" s="3" t="s">
        <v>41</v>
      </c>
      <c r="AD17" s="3">
        <v>99</v>
      </c>
      <c r="AE17" s="11">
        <v>1</v>
      </c>
    </row>
    <row r="18" spans="1:31" ht="14.45">
      <c r="A18" s="4" t="s">
        <v>62</v>
      </c>
      <c r="B18" s="4">
        <v>2023</v>
      </c>
      <c r="C18" s="4">
        <v>18239263</v>
      </c>
      <c r="D18" s="13" t="s">
        <v>70</v>
      </c>
      <c r="E18" s="4" t="s">
        <v>71</v>
      </c>
      <c r="F18" s="4" t="s">
        <v>34</v>
      </c>
      <c r="G18" s="3" t="s">
        <v>35</v>
      </c>
      <c r="H18" s="3" t="s">
        <v>36</v>
      </c>
      <c r="I18" s="3"/>
      <c r="J18" s="5"/>
      <c r="K18" s="3">
        <v>7</v>
      </c>
      <c r="L18" s="16">
        <v>10692464.76</v>
      </c>
      <c r="M18" s="5"/>
      <c r="N18" s="5"/>
      <c r="O18" s="5"/>
      <c r="P18" s="8">
        <v>0</v>
      </c>
      <c r="Q18" s="8">
        <v>0</v>
      </c>
      <c r="R18" s="5"/>
      <c r="S18" s="8">
        <v>0</v>
      </c>
      <c r="T18" s="5"/>
      <c r="U18" s="8">
        <v>0</v>
      </c>
      <c r="V18" s="19">
        <v>45160</v>
      </c>
      <c r="W18" s="19">
        <v>45717</v>
      </c>
      <c r="X18" s="10">
        <f ca="1">TODAY()-W18</f>
        <v>269</v>
      </c>
      <c r="Y18" s="1"/>
      <c r="Z18" s="5"/>
      <c r="AA18" s="25">
        <v>1000558.09</v>
      </c>
      <c r="AB18" s="3" t="s">
        <v>40</v>
      </c>
      <c r="AC18" s="3" t="s">
        <v>41</v>
      </c>
      <c r="AD18" s="3">
        <v>99</v>
      </c>
      <c r="AE18" s="11">
        <v>1</v>
      </c>
    </row>
    <row r="19" spans="1:31" ht="14.45">
      <c r="A19" s="4" t="s">
        <v>62</v>
      </c>
      <c r="B19" s="4">
        <v>2023</v>
      </c>
      <c r="C19" s="4">
        <v>18239263</v>
      </c>
      <c r="D19" s="13" t="s">
        <v>70</v>
      </c>
      <c r="E19" s="4" t="s">
        <v>71</v>
      </c>
      <c r="F19" s="4" t="s">
        <v>42</v>
      </c>
      <c r="G19" s="3" t="s">
        <v>35</v>
      </c>
      <c r="H19" s="3" t="s">
        <v>57</v>
      </c>
      <c r="I19" s="3"/>
      <c r="J19" s="5"/>
      <c r="K19" s="3">
        <v>3</v>
      </c>
      <c r="L19" s="8">
        <v>0</v>
      </c>
      <c r="M19" s="5"/>
      <c r="N19" s="5"/>
      <c r="O19" s="5"/>
      <c r="P19" s="8">
        <v>0</v>
      </c>
      <c r="Q19" s="8">
        <v>0</v>
      </c>
      <c r="R19" s="5"/>
      <c r="S19" s="8">
        <v>0</v>
      </c>
      <c r="T19" s="5"/>
      <c r="U19" s="8">
        <v>0</v>
      </c>
      <c r="V19" s="2"/>
      <c r="W19" s="2"/>
      <c r="X19" s="5"/>
      <c r="Y19" s="1"/>
      <c r="Z19" s="5"/>
      <c r="AA19" s="8">
        <v>0</v>
      </c>
      <c r="AB19" s="3" t="s">
        <v>40</v>
      </c>
      <c r="AC19" s="3" t="s">
        <v>41</v>
      </c>
      <c r="AD19" s="3">
        <v>99</v>
      </c>
      <c r="AE19" s="11">
        <v>1</v>
      </c>
    </row>
    <row r="20" spans="1:31" ht="14.45">
      <c r="A20" s="4" t="s">
        <v>62</v>
      </c>
      <c r="B20" s="4">
        <v>2023</v>
      </c>
      <c r="C20" s="4">
        <v>18239263</v>
      </c>
      <c r="D20" s="13" t="s">
        <v>70</v>
      </c>
      <c r="E20" s="4" t="s">
        <v>71</v>
      </c>
      <c r="F20" s="4" t="s">
        <v>72</v>
      </c>
      <c r="G20" s="3" t="s">
        <v>35</v>
      </c>
      <c r="H20" s="3" t="s">
        <v>73</v>
      </c>
      <c r="I20" s="3"/>
      <c r="J20" s="5"/>
      <c r="K20" s="3">
        <v>5</v>
      </c>
      <c r="L20" s="8">
        <v>0</v>
      </c>
      <c r="M20" s="5"/>
      <c r="N20" s="5"/>
      <c r="O20" s="5"/>
      <c r="P20" s="8">
        <v>0</v>
      </c>
      <c r="Q20" s="8">
        <v>0</v>
      </c>
      <c r="R20" s="5"/>
      <c r="S20" s="8">
        <v>0</v>
      </c>
      <c r="T20" s="5"/>
      <c r="U20" s="8">
        <v>0</v>
      </c>
      <c r="V20" s="2"/>
      <c r="W20" s="2"/>
      <c r="X20" s="5"/>
      <c r="Y20" s="1"/>
      <c r="Z20" s="5"/>
      <c r="AA20" s="8">
        <v>0</v>
      </c>
      <c r="AB20" s="3" t="s">
        <v>40</v>
      </c>
      <c r="AC20" s="3" t="s">
        <v>41</v>
      </c>
      <c r="AD20" s="3">
        <v>99</v>
      </c>
      <c r="AE20" s="11">
        <v>1</v>
      </c>
    </row>
    <row r="21" spans="1:31" ht="14.45">
      <c r="A21" s="15" t="s">
        <v>74</v>
      </c>
      <c r="B21" s="3">
        <v>2023</v>
      </c>
      <c r="C21" s="4">
        <v>18185328</v>
      </c>
      <c r="D21" s="15" t="s">
        <v>75</v>
      </c>
      <c r="E21" s="14" t="s">
        <v>76</v>
      </c>
      <c r="F21" s="4" t="s">
        <v>34</v>
      </c>
      <c r="G21" s="3" t="s">
        <v>35</v>
      </c>
      <c r="H21" s="3" t="s">
        <v>36</v>
      </c>
      <c r="I21" s="3" t="s">
        <v>47</v>
      </c>
      <c r="J21" s="3"/>
      <c r="K21" s="3">
        <v>2</v>
      </c>
      <c r="L21" s="16">
        <v>311639</v>
      </c>
      <c r="M21" s="5"/>
      <c r="N21" s="5"/>
      <c r="O21" s="5"/>
      <c r="P21" s="8">
        <v>0</v>
      </c>
      <c r="Q21" s="8">
        <v>0</v>
      </c>
      <c r="R21" s="5"/>
      <c r="S21" s="8">
        <v>0</v>
      </c>
      <c r="T21" s="5"/>
      <c r="U21" s="8">
        <v>0</v>
      </c>
      <c r="V21" s="19">
        <v>45086</v>
      </c>
      <c r="W21" s="19">
        <v>45259</v>
      </c>
      <c r="X21" s="10">
        <f t="shared" ref="X21:X34" ca="1" si="0">TODAY()-W21</f>
        <v>727</v>
      </c>
      <c r="Y21" s="1" t="e">
        <f>VLOOKUP(C21,'[1]Detail Sheet'!$C:$K,9,0)</f>
        <v>#N/A</v>
      </c>
      <c r="Z21" s="5"/>
      <c r="AA21" s="23">
        <v>17452.5</v>
      </c>
      <c r="AB21" s="3" t="s">
        <v>40</v>
      </c>
      <c r="AC21" s="3" t="s">
        <v>41</v>
      </c>
      <c r="AD21" s="3">
        <v>99</v>
      </c>
      <c r="AE21" s="11">
        <v>1</v>
      </c>
    </row>
    <row r="22" spans="1:31" ht="14.45">
      <c r="A22" s="15" t="s">
        <v>74</v>
      </c>
      <c r="B22" s="3">
        <v>2023</v>
      </c>
      <c r="C22" s="15">
        <v>18351480</v>
      </c>
      <c r="D22" s="14" t="s">
        <v>77</v>
      </c>
      <c r="E22" s="14" t="s">
        <v>78</v>
      </c>
      <c r="F22" s="4" t="s">
        <v>34</v>
      </c>
      <c r="G22" s="3" t="s">
        <v>46</v>
      </c>
      <c r="H22" s="3" t="s">
        <v>36</v>
      </c>
      <c r="I22" s="3" t="s">
        <v>79</v>
      </c>
      <c r="J22" s="3"/>
      <c r="K22" s="3">
        <v>1</v>
      </c>
      <c r="L22" s="16">
        <v>1079706.52</v>
      </c>
      <c r="M22" s="5"/>
      <c r="N22" s="5"/>
      <c r="O22" s="5"/>
      <c r="P22" s="8">
        <v>0</v>
      </c>
      <c r="Q22" s="8">
        <v>0</v>
      </c>
      <c r="R22" s="5"/>
      <c r="S22" s="8">
        <v>0</v>
      </c>
      <c r="T22" s="5"/>
      <c r="U22" s="8">
        <v>0</v>
      </c>
      <c r="V22" s="19">
        <v>45324</v>
      </c>
      <c r="W22" s="19">
        <v>45668</v>
      </c>
      <c r="X22" s="10">
        <f t="shared" ca="1" si="0"/>
        <v>318</v>
      </c>
      <c r="Y22" s="1" t="e">
        <f>VLOOKUP(C22,'[1]Detail Sheet'!$C:$K,9,0)</f>
        <v>#N/A</v>
      </c>
      <c r="Z22" s="5"/>
      <c r="AA22" s="23">
        <v>647822.48</v>
      </c>
      <c r="AB22" s="3" t="s">
        <v>60</v>
      </c>
      <c r="AC22" s="3" t="s">
        <v>52</v>
      </c>
      <c r="AD22" s="3">
        <v>35</v>
      </c>
      <c r="AE22" s="11">
        <v>0.35</v>
      </c>
    </row>
    <row r="23" spans="1:31" ht="14.45">
      <c r="A23" s="35" t="s">
        <v>74</v>
      </c>
      <c r="B23" s="31">
        <v>2024</v>
      </c>
      <c r="C23" s="35">
        <v>18649372</v>
      </c>
      <c r="D23" s="36" t="s">
        <v>80</v>
      </c>
      <c r="E23" s="36" t="s">
        <v>81</v>
      </c>
      <c r="F23" s="31" t="s">
        <v>34</v>
      </c>
      <c r="G23" s="31" t="s">
        <v>35</v>
      </c>
      <c r="H23" s="31" t="s">
        <v>55</v>
      </c>
      <c r="I23" s="31" t="s">
        <v>79</v>
      </c>
      <c r="J23" s="31"/>
      <c r="K23" s="31">
        <v>2</v>
      </c>
      <c r="L23" s="56">
        <v>370530</v>
      </c>
      <c r="M23" s="32"/>
      <c r="N23" s="32"/>
      <c r="O23" s="32"/>
      <c r="P23" s="37">
        <v>0</v>
      </c>
      <c r="Q23" s="37">
        <v>0</v>
      </c>
      <c r="R23" s="32"/>
      <c r="S23" s="37">
        <v>0</v>
      </c>
      <c r="T23" s="32"/>
      <c r="U23" s="37">
        <v>0</v>
      </c>
      <c r="V23" s="38">
        <v>45734</v>
      </c>
      <c r="W23" s="38">
        <v>45951</v>
      </c>
      <c r="X23" s="39">
        <f t="shared" ca="1" si="0"/>
        <v>35</v>
      </c>
      <c r="Y23" s="40" t="e">
        <f>VLOOKUP(C23,'[1]Detail Sheet'!$C:$K,9,0)</f>
        <v>#N/A</v>
      </c>
      <c r="Z23" s="32"/>
      <c r="AA23" s="26">
        <v>222318</v>
      </c>
      <c r="AB23" s="31" t="s">
        <v>60</v>
      </c>
      <c r="AC23" s="31" t="s">
        <v>61</v>
      </c>
      <c r="AD23" s="31">
        <v>40</v>
      </c>
      <c r="AE23" s="41">
        <v>0.45</v>
      </c>
    </row>
    <row r="24" spans="1:31" ht="14.45">
      <c r="A24" s="48" t="s">
        <v>74</v>
      </c>
      <c r="B24" s="29">
        <v>2024</v>
      </c>
      <c r="C24" s="48">
        <v>18649372</v>
      </c>
      <c r="D24" s="49" t="s">
        <v>80</v>
      </c>
      <c r="E24" s="49" t="s">
        <v>81</v>
      </c>
      <c r="F24" s="28" t="s">
        <v>42</v>
      </c>
      <c r="G24" s="29" t="s">
        <v>35</v>
      </c>
      <c r="H24" s="29" t="s">
        <v>57</v>
      </c>
      <c r="I24" s="29" t="s">
        <v>79</v>
      </c>
      <c r="J24" s="29"/>
      <c r="K24" s="29">
        <v>2</v>
      </c>
      <c r="L24" s="50">
        <v>0</v>
      </c>
      <c r="M24" s="27"/>
      <c r="N24" s="27"/>
      <c r="O24" s="27"/>
      <c r="P24" s="50">
        <v>0</v>
      </c>
      <c r="Q24" s="50">
        <v>0</v>
      </c>
      <c r="R24" s="27"/>
      <c r="S24" s="50">
        <v>0</v>
      </c>
      <c r="T24" s="27"/>
      <c r="U24" s="50">
        <v>0</v>
      </c>
      <c r="V24" s="51">
        <v>45734</v>
      </c>
      <c r="W24" s="51">
        <v>45951</v>
      </c>
      <c r="X24" s="52">
        <f t="shared" ca="1" si="0"/>
        <v>35</v>
      </c>
      <c r="Y24" s="44" t="e">
        <f>VLOOKUP(C24,'[1]Detail Sheet'!$C:$K,9,0)</f>
        <v>#N/A</v>
      </c>
      <c r="Z24" s="27"/>
      <c r="AA24" s="50">
        <v>0</v>
      </c>
      <c r="AB24" s="29" t="s">
        <v>60</v>
      </c>
      <c r="AC24" s="29" t="s">
        <v>61</v>
      </c>
      <c r="AD24" s="29">
        <v>45</v>
      </c>
      <c r="AE24" s="30">
        <v>0.5</v>
      </c>
    </row>
    <row r="25" spans="1:31" ht="14.45">
      <c r="A25" s="48" t="s">
        <v>74</v>
      </c>
      <c r="B25" s="29">
        <v>2025</v>
      </c>
      <c r="C25" s="48">
        <v>18704665</v>
      </c>
      <c r="D25" s="49" t="s">
        <v>82</v>
      </c>
      <c r="E25" s="49" t="s">
        <v>83</v>
      </c>
      <c r="F25" s="28" t="s">
        <v>42</v>
      </c>
      <c r="G25" s="29" t="s">
        <v>46</v>
      </c>
      <c r="H25" s="29" t="s">
        <v>84</v>
      </c>
      <c r="I25" s="29" t="s">
        <v>79</v>
      </c>
      <c r="J25" s="29"/>
      <c r="K25" s="29">
        <v>2</v>
      </c>
      <c r="L25" s="53">
        <v>154638.1</v>
      </c>
      <c r="M25" s="27"/>
      <c r="N25" s="27"/>
      <c r="O25" s="27"/>
      <c r="P25" s="50">
        <v>0</v>
      </c>
      <c r="Q25" s="50">
        <v>0</v>
      </c>
      <c r="R25" s="27"/>
      <c r="S25" s="50">
        <v>0</v>
      </c>
      <c r="T25" s="27"/>
      <c r="U25" s="50">
        <v>0</v>
      </c>
      <c r="V25" s="51">
        <v>45811</v>
      </c>
      <c r="W25" s="51">
        <v>46029</v>
      </c>
      <c r="X25" s="52">
        <f t="shared" ca="1" si="0"/>
        <v>-43</v>
      </c>
      <c r="Y25" s="44" t="e">
        <f>VLOOKUP(C25,'[1]Detail Sheet'!$C:$K,9,0)</f>
        <v>#N/A</v>
      </c>
      <c r="Z25" s="27"/>
      <c r="AA25" s="54">
        <v>154638.1</v>
      </c>
      <c r="AB25" s="29" t="s">
        <v>85</v>
      </c>
      <c r="AC25" s="29" t="s">
        <v>61</v>
      </c>
      <c r="AD25" s="55">
        <v>8</v>
      </c>
      <c r="AE25" s="30">
        <v>0.1</v>
      </c>
    </row>
    <row r="26" spans="1:31" ht="15" customHeight="1">
      <c r="A26" s="28" t="s">
        <v>74</v>
      </c>
      <c r="B26" s="28">
        <v>2025</v>
      </c>
      <c r="C26" s="28">
        <v>18793810</v>
      </c>
      <c r="D26" s="28" t="s">
        <v>86</v>
      </c>
      <c r="E26" s="73" t="s">
        <v>87</v>
      </c>
      <c r="F26" s="28" t="s">
        <v>34</v>
      </c>
      <c r="G26" s="29" t="s">
        <v>35</v>
      </c>
      <c r="H26" s="29" t="s">
        <v>36</v>
      </c>
      <c r="I26" s="28" t="s">
        <v>38</v>
      </c>
      <c r="J26" s="28"/>
      <c r="K26" s="28">
        <v>1</v>
      </c>
      <c r="L26" s="42">
        <v>1509175.85</v>
      </c>
      <c r="M26" s="28"/>
      <c r="N26" s="43">
        <v>-0.1</v>
      </c>
      <c r="O26" s="28"/>
      <c r="P26" s="42">
        <f>N26*L26</f>
        <v>-150917.58500000002</v>
      </c>
      <c r="Q26" s="50">
        <v>0</v>
      </c>
      <c r="R26" s="28"/>
      <c r="S26" s="50">
        <v>0</v>
      </c>
      <c r="T26" s="27"/>
      <c r="U26" s="50">
        <v>0</v>
      </c>
      <c r="V26" s="51">
        <v>45927</v>
      </c>
      <c r="W26" s="51">
        <v>46294</v>
      </c>
      <c r="X26" s="52">
        <f t="shared" ca="1" si="0"/>
        <v>-308</v>
      </c>
      <c r="Y26" s="51">
        <v>46195</v>
      </c>
      <c r="Z26" s="28"/>
      <c r="AA26" s="42">
        <v>1509175.85</v>
      </c>
      <c r="AB26" s="29" t="s">
        <v>85</v>
      </c>
      <c r="AC26" s="29" t="s">
        <v>61</v>
      </c>
      <c r="AD26" s="55">
        <v>8</v>
      </c>
      <c r="AE26" s="30">
        <v>0.1</v>
      </c>
    </row>
    <row r="27" spans="1:31" ht="15" customHeight="1">
      <c r="A27" s="28" t="s">
        <v>74</v>
      </c>
      <c r="B27" s="28">
        <v>2025</v>
      </c>
      <c r="C27" s="28">
        <v>18793810</v>
      </c>
      <c r="D27" s="28" t="s">
        <v>86</v>
      </c>
      <c r="E27" s="28" t="s">
        <v>88</v>
      </c>
      <c r="F27" s="29" t="s">
        <v>34</v>
      </c>
      <c r="G27" s="29" t="s">
        <v>35</v>
      </c>
      <c r="H27" s="29" t="s">
        <v>36</v>
      </c>
      <c r="I27" s="28" t="s">
        <v>38</v>
      </c>
      <c r="J27" s="28"/>
      <c r="K27" s="28">
        <v>1</v>
      </c>
      <c r="L27" s="42">
        <v>0</v>
      </c>
      <c r="M27" s="28"/>
      <c r="N27" s="28"/>
      <c r="O27" s="28"/>
      <c r="P27" s="50">
        <v>0</v>
      </c>
      <c r="Q27" s="50">
        <v>0</v>
      </c>
      <c r="R27" s="28"/>
      <c r="S27" s="50">
        <v>0</v>
      </c>
      <c r="T27" s="27"/>
      <c r="U27" s="50">
        <v>0</v>
      </c>
      <c r="V27" s="51">
        <v>45927</v>
      </c>
      <c r="W27" s="51">
        <v>46294</v>
      </c>
      <c r="X27" s="52">
        <f t="shared" ca="1" si="0"/>
        <v>-308</v>
      </c>
      <c r="Y27" s="51">
        <v>46195</v>
      </c>
      <c r="Z27" s="28"/>
      <c r="AA27" s="50">
        <v>0</v>
      </c>
      <c r="AB27" s="29" t="s">
        <v>85</v>
      </c>
      <c r="AC27" s="29" t="s">
        <v>61</v>
      </c>
      <c r="AD27" s="55">
        <v>8</v>
      </c>
      <c r="AE27" s="30">
        <v>0.1</v>
      </c>
    </row>
    <row r="28" spans="1:31" ht="15" customHeight="1">
      <c r="A28" s="28" t="s">
        <v>74</v>
      </c>
      <c r="B28" s="28">
        <v>2025</v>
      </c>
      <c r="C28" s="28">
        <v>18793810</v>
      </c>
      <c r="D28" s="28" t="s">
        <v>86</v>
      </c>
      <c r="E28" s="28" t="s">
        <v>88</v>
      </c>
      <c r="F28" s="28" t="s">
        <v>42</v>
      </c>
      <c r="G28" s="29" t="s">
        <v>35</v>
      </c>
      <c r="H28" s="29" t="s">
        <v>36</v>
      </c>
      <c r="I28" s="28" t="s">
        <v>38</v>
      </c>
      <c r="J28" s="28"/>
      <c r="K28" s="28">
        <v>1</v>
      </c>
      <c r="L28" s="42">
        <v>0</v>
      </c>
      <c r="M28" s="28"/>
      <c r="N28" s="28"/>
      <c r="O28" s="28"/>
      <c r="P28" s="50">
        <v>0</v>
      </c>
      <c r="Q28" s="50">
        <v>0</v>
      </c>
      <c r="R28" s="28"/>
      <c r="S28" s="50">
        <v>0</v>
      </c>
      <c r="T28" s="27"/>
      <c r="U28" s="50">
        <v>0</v>
      </c>
      <c r="V28" s="51">
        <v>45927</v>
      </c>
      <c r="W28" s="51">
        <v>46294</v>
      </c>
      <c r="X28" s="52">
        <f t="shared" ca="1" si="0"/>
        <v>-308</v>
      </c>
      <c r="Y28" s="51">
        <v>46195</v>
      </c>
      <c r="Z28" s="28"/>
      <c r="AA28" s="50">
        <v>0</v>
      </c>
      <c r="AB28" s="29" t="s">
        <v>85</v>
      </c>
      <c r="AC28" s="29" t="s">
        <v>61</v>
      </c>
      <c r="AD28" s="55">
        <v>8</v>
      </c>
      <c r="AE28" s="30">
        <v>0.1</v>
      </c>
    </row>
    <row r="29" spans="1:31" ht="15" customHeight="1">
      <c r="A29" s="28" t="s">
        <v>74</v>
      </c>
      <c r="B29" s="28">
        <v>2025</v>
      </c>
      <c r="C29" s="28">
        <v>18793810</v>
      </c>
      <c r="D29" s="28" t="s">
        <v>86</v>
      </c>
      <c r="E29" s="28" t="s">
        <v>88</v>
      </c>
      <c r="F29" s="28" t="s">
        <v>42</v>
      </c>
      <c r="G29" s="29" t="s">
        <v>35</v>
      </c>
      <c r="H29" s="29" t="s">
        <v>36</v>
      </c>
      <c r="I29" s="28" t="s">
        <v>38</v>
      </c>
      <c r="J29" s="28"/>
      <c r="K29" s="28">
        <v>1</v>
      </c>
      <c r="L29" s="42">
        <v>0</v>
      </c>
      <c r="M29" s="28"/>
      <c r="N29" s="28"/>
      <c r="O29" s="28"/>
      <c r="P29" s="50">
        <v>0</v>
      </c>
      <c r="Q29" s="50">
        <v>0</v>
      </c>
      <c r="R29" s="28"/>
      <c r="S29" s="50">
        <v>0</v>
      </c>
      <c r="T29" s="27"/>
      <c r="U29" s="50">
        <v>0</v>
      </c>
      <c r="V29" s="51">
        <v>45927</v>
      </c>
      <c r="W29" s="51">
        <v>46294</v>
      </c>
      <c r="X29" s="52">
        <f t="shared" ca="1" si="0"/>
        <v>-308</v>
      </c>
      <c r="Y29" s="51">
        <v>46195</v>
      </c>
      <c r="Z29" s="28"/>
      <c r="AA29" s="50">
        <v>0</v>
      </c>
      <c r="AB29" s="29" t="s">
        <v>85</v>
      </c>
      <c r="AC29" s="29" t="s">
        <v>61</v>
      </c>
      <c r="AD29" s="55">
        <v>8</v>
      </c>
      <c r="AE29" s="30">
        <v>0.1</v>
      </c>
    </row>
    <row r="30" spans="1:31" ht="15" customHeight="1">
      <c r="A30" s="47" t="s">
        <v>31</v>
      </c>
      <c r="B30" s="47">
        <v>2025</v>
      </c>
      <c r="C30" s="47">
        <v>18768883</v>
      </c>
      <c r="D30" s="47" t="s">
        <v>89</v>
      </c>
      <c r="E30" s="47" t="s">
        <v>90</v>
      </c>
      <c r="F30" s="47" t="s">
        <v>34</v>
      </c>
      <c r="G30" s="47" t="s">
        <v>46</v>
      </c>
      <c r="H30" s="47" t="s">
        <v>36</v>
      </c>
      <c r="I30" s="47" t="s">
        <v>79</v>
      </c>
      <c r="J30" s="47"/>
      <c r="K30" s="47">
        <v>1</v>
      </c>
      <c r="L30" s="57">
        <v>841776.14</v>
      </c>
      <c r="M30" s="57"/>
      <c r="N30" s="58">
        <v>-0.05</v>
      </c>
      <c r="O30" s="57"/>
      <c r="P30" s="57">
        <f>N30*L30</f>
        <v>-42088.807000000001</v>
      </c>
      <c r="Q30" s="57">
        <v>0</v>
      </c>
      <c r="R30" s="57"/>
      <c r="S30" s="57">
        <v>0</v>
      </c>
      <c r="T30" s="47"/>
      <c r="U30" s="57">
        <v>0</v>
      </c>
      <c r="V30" s="59">
        <v>45905</v>
      </c>
      <c r="W30" s="59">
        <v>46430</v>
      </c>
      <c r="X30" s="60">
        <f t="shared" ca="1" si="0"/>
        <v>-444</v>
      </c>
      <c r="Y30" s="59">
        <v>46331</v>
      </c>
      <c r="Z30" s="47"/>
      <c r="AA30" s="57">
        <v>841776.14</v>
      </c>
      <c r="AB30" s="28" t="s">
        <v>85</v>
      </c>
      <c r="AC30" s="28" t="s">
        <v>61</v>
      </c>
      <c r="AD30" s="55">
        <v>8</v>
      </c>
      <c r="AE30" s="30">
        <v>0.1</v>
      </c>
    </row>
    <row r="31" spans="1:31" ht="15" customHeight="1">
      <c r="A31" s="47" t="s">
        <v>31</v>
      </c>
      <c r="B31" s="47">
        <v>2025</v>
      </c>
      <c r="C31" s="45">
        <v>18800831</v>
      </c>
      <c r="D31" s="45" t="s">
        <v>53</v>
      </c>
      <c r="E31" s="45" t="s">
        <v>91</v>
      </c>
      <c r="F31" s="45" t="s">
        <v>34</v>
      </c>
      <c r="G31" s="47" t="s">
        <v>46</v>
      </c>
      <c r="H31" s="45" t="s">
        <v>55</v>
      </c>
      <c r="I31" s="47" t="s">
        <v>79</v>
      </c>
      <c r="J31" s="45"/>
      <c r="K31" s="45">
        <v>1</v>
      </c>
      <c r="L31" s="65">
        <v>257437.80000000002</v>
      </c>
      <c r="M31" s="45"/>
      <c r="N31" s="66">
        <v>-0.05</v>
      </c>
      <c r="O31" s="65"/>
      <c r="P31" s="65">
        <f>N31*L31</f>
        <v>-12871.890000000001</v>
      </c>
      <c r="Q31" s="65">
        <v>0</v>
      </c>
      <c r="R31" s="65"/>
      <c r="S31" s="65">
        <v>0</v>
      </c>
      <c r="T31" s="47"/>
      <c r="U31" s="65">
        <v>0</v>
      </c>
      <c r="V31" s="59">
        <v>45959</v>
      </c>
      <c r="W31" s="59">
        <v>46175</v>
      </c>
      <c r="X31" s="60">
        <f t="shared" ca="1" si="0"/>
        <v>-189</v>
      </c>
      <c r="Y31" s="59">
        <v>46076</v>
      </c>
      <c r="Z31" s="45"/>
      <c r="AA31" s="65">
        <v>257437.80000000002</v>
      </c>
      <c r="AB31" s="63" t="s">
        <v>85</v>
      </c>
      <c r="AC31" s="47" t="s">
        <v>61</v>
      </c>
      <c r="AD31" s="64">
        <v>8</v>
      </c>
      <c r="AE31" s="30">
        <v>0.1</v>
      </c>
    </row>
    <row r="32" spans="1:31" ht="15" customHeight="1">
      <c r="A32" s="28" t="s">
        <v>31</v>
      </c>
      <c r="B32" s="28">
        <v>2025</v>
      </c>
      <c r="C32" s="29">
        <v>18800831</v>
      </c>
      <c r="D32" s="29" t="s">
        <v>53</v>
      </c>
      <c r="E32" s="29" t="s">
        <v>91</v>
      </c>
      <c r="F32" s="28" t="s">
        <v>42</v>
      </c>
      <c r="G32" s="28" t="s">
        <v>46</v>
      </c>
      <c r="H32" s="29" t="s">
        <v>57</v>
      </c>
      <c r="I32" s="28" t="s">
        <v>79</v>
      </c>
      <c r="J32" s="29"/>
      <c r="K32" s="29">
        <v>1</v>
      </c>
      <c r="L32" s="42">
        <v>0</v>
      </c>
      <c r="M32" s="28"/>
      <c r="N32" s="28"/>
      <c r="O32" s="28"/>
      <c r="P32" s="50">
        <v>0</v>
      </c>
      <c r="Q32" s="50">
        <v>0</v>
      </c>
      <c r="R32" s="28"/>
      <c r="S32" s="50">
        <v>0</v>
      </c>
      <c r="T32" s="27"/>
      <c r="U32" s="50">
        <v>0</v>
      </c>
      <c r="V32" s="44">
        <v>45959</v>
      </c>
      <c r="W32" s="44">
        <v>46175</v>
      </c>
      <c r="X32" s="62">
        <f t="shared" ca="1" si="0"/>
        <v>-189</v>
      </c>
      <c r="Y32" s="44">
        <v>46076</v>
      </c>
      <c r="Z32" s="29"/>
      <c r="AA32" s="50">
        <v>0</v>
      </c>
      <c r="AB32" s="28" t="s">
        <v>85</v>
      </c>
      <c r="AC32" s="28" t="s">
        <v>61</v>
      </c>
      <c r="AD32" s="55">
        <v>8</v>
      </c>
      <c r="AE32" s="30">
        <v>0.1</v>
      </c>
    </row>
    <row r="33" spans="1:31" ht="15" customHeight="1">
      <c r="A33" s="28" t="s">
        <v>31</v>
      </c>
      <c r="B33" s="28">
        <v>2025</v>
      </c>
      <c r="C33" s="29">
        <v>18798633</v>
      </c>
      <c r="D33" s="29" t="s">
        <v>92</v>
      </c>
      <c r="E33" s="29" t="s">
        <v>93</v>
      </c>
      <c r="F33" s="29" t="s">
        <v>34</v>
      </c>
      <c r="G33" s="28" t="s">
        <v>46</v>
      </c>
      <c r="H33" s="29" t="s">
        <v>36</v>
      </c>
      <c r="I33" s="27"/>
      <c r="J33" s="27"/>
      <c r="K33" s="29">
        <v>1</v>
      </c>
      <c r="L33" s="61">
        <v>605020</v>
      </c>
      <c r="M33" s="27"/>
      <c r="N33" s="27"/>
      <c r="O33" s="27"/>
      <c r="P33" s="50">
        <v>0</v>
      </c>
      <c r="Q33" s="50">
        <v>0</v>
      </c>
      <c r="R33" s="28"/>
      <c r="S33" s="50">
        <v>0</v>
      </c>
      <c r="T33" s="27"/>
      <c r="U33" s="50">
        <v>0</v>
      </c>
      <c r="V33" s="44">
        <v>45958</v>
      </c>
      <c r="W33" s="44">
        <v>46303</v>
      </c>
      <c r="X33" s="62">
        <f t="shared" ca="1" si="0"/>
        <v>-317</v>
      </c>
      <c r="Y33" s="44">
        <v>46204</v>
      </c>
      <c r="Z33" s="27"/>
      <c r="AA33" s="61">
        <v>605020</v>
      </c>
      <c r="AB33" s="28" t="s">
        <v>85</v>
      </c>
      <c r="AC33" s="28" t="s">
        <v>61</v>
      </c>
      <c r="AD33" s="55">
        <v>8</v>
      </c>
      <c r="AE33" s="30">
        <v>0.1</v>
      </c>
    </row>
    <row r="34" spans="1:31" ht="15" customHeight="1">
      <c r="A34" s="28" t="s">
        <v>31</v>
      </c>
      <c r="B34" s="28">
        <v>2025</v>
      </c>
      <c r="C34" s="29">
        <v>18798633</v>
      </c>
      <c r="D34" s="29" t="s">
        <v>92</v>
      </c>
      <c r="E34" s="29" t="s">
        <v>93</v>
      </c>
      <c r="F34" s="28" t="s">
        <v>42</v>
      </c>
      <c r="G34" s="28" t="s">
        <v>46</v>
      </c>
      <c r="H34" s="29" t="s">
        <v>36</v>
      </c>
      <c r="I34" s="27"/>
      <c r="J34" s="27"/>
      <c r="K34" s="29">
        <v>1</v>
      </c>
      <c r="L34" s="27">
        <v>0</v>
      </c>
      <c r="M34" s="27"/>
      <c r="N34" s="27"/>
      <c r="O34" s="27"/>
      <c r="P34" s="50">
        <v>0</v>
      </c>
      <c r="Q34" s="50">
        <v>0</v>
      </c>
      <c r="R34" s="28"/>
      <c r="S34" s="50">
        <v>0</v>
      </c>
      <c r="T34" s="27"/>
      <c r="U34" s="50">
        <v>0</v>
      </c>
      <c r="V34" s="44">
        <v>45958</v>
      </c>
      <c r="W34" s="44">
        <v>46303</v>
      </c>
      <c r="X34" s="62">
        <f t="shared" ca="1" si="0"/>
        <v>-317</v>
      </c>
      <c r="Y34" s="44">
        <v>46204</v>
      </c>
      <c r="Z34" s="27"/>
      <c r="AA34" s="50">
        <v>0</v>
      </c>
      <c r="AB34" s="28" t="s">
        <v>85</v>
      </c>
      <c r="AC34" s="28" t="s">
        <v>61</v>
      </c>
      <c r="AD34" s="55">
        <v>8</v>
      </c>
      <c r="AE34" s="30">
        <v>0.1</v>
      </c>
    </row>
  </sheetData>
  <autoFilter ref="A1:AE34" xr:uid="{AE064591-71B4-4B5F-84FA-72145AEDE0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F878-6972-40D9-B1AA-0A7668C8747A}">
  <dimension ref="A1:T70"/>
  <sheetViews>
    <sheetView tabSelected="1" topLeftCell="F1" zoomScale="50" zoomScaleNormal="50" workbookViewId="0">
      <selection activeCell="K25" sqref="K25"/>
    </sheetView>
  </sheetViews>
  <sheetFormatPr defaultRowHeight="15" customHeight="1"/>
  <cols>
    <col min="1" max="1" width="23.5" style="133" customWidth="1"/>
    <col min="2" max="2" width="15.125" customWidth="1"/>
    <col min="3" max="3" width="16.875" customWidth="1"/>
    <col min="4" max="4" width="21.375" customWidth="1"/>
    <col min="5" max="5" width="17.625" customWidth="1"/>
    <col min="6" max="6" width="18.125" customWidth="1"/>
    <col min="7" max="7" width="28" customWidth="1"/>
    <col min="8" max="8" width="25" customWidth="1"/>
    <col min="9" max="9" width="12.625" customWidth="1"/>
    <col min="10" max="10" width="23.75" customWidth="1"/>
    <col min="11" max="11" width="13" customWidth="1"/>
    <col min="12" max="12" width="17" customWidth="1"/>
    <col min="13" max="13" width="23.875" customWidth="1"/>
    <col min="14" max="14" width="15.875" customWidth="1"/>
    <col min="15" max="15" width="22.875" customWidth="1"/>
    <col min="16" max="16" width="19.375" style="133" bestFit="1" customWidth="1"/>
    <col min="17" max="17" width="19.375" customWidth="1"/>
    <col min="18" max="18" width="25.375" customWidth="1"/>
    <col min="19" max="19" width="19.375" customWidth="1"/>
    <col min="20" max="20" width="23" customWidth="1"/>
  </cols>
  <sheetData>
    <row r="1" spans="1:20" ht="26.1">
      <c r="A1" s="74" t="s">
        <v>1</v>
      </c>
      <c r="B1" s="75" t="s">
        <v>94</v>
      </c>
      <c r="C1" s="76" t="s">
        <v>0</v>
      </c>
      <c r="D1" s="76" t="s">
        <v>95</v>
      </c>
      <c r="E1" s="77" t="s">
        <v>3</v>
      </c>
      <c r="F1" s="78" t="s">
        <v>96</v>
      </c>
      <c r="G1" s="77" t="s">
        <v>97</v>
      </c>
      <c r="H1" s="78" t="s">
        <v>98</v>
      </c>
      <c r="I1" s="77" t="s">
        <v>99</v>
      </c>
      <c r="J1" s="135" t="s">
        <v>100</v>
      </c>
      <c r="K1" s="135" t="s">
        <v>101</v>
      </c>
      <c r="L1" s="135"/>
      <c r="M1" s="136" t="s">
        <v>102</v>
      </c>
      <c r="N1" s="136" t="s">
        <v>103</v>
      </c>
      <c r="O1" s="135" t="s">
        <v>104</v>
      </c>
      <c r="P1" s="135" t="s">
        <v>105</v>
      </c>
      <c r="Q1" s="135" t="s">
        <v>106</v>
      </c>
      <c r="R1" s="135" t="s">
        <v>107</v>
      </c>
      <c r="S1" s="135" t="s">
        <v>108</v>
      </c>
      <c r="T1" s="134" t="s">
        <v>109</v>
      </c>
    </row>
    <row r="2" spans="1:20" ht="14.1">
      <c r="A2" s="79" t="s">
        <v>31</v>
      </c>
      <c r="B2" s="80">
        <v>1</v>
      </c>
      <c r="C2" s="81" t="s">
        <v>31</v>
      </c>
      <c r="D2" s="81">
        <v>18291861</v>
      </c>
      <c r="E2" s="82" t="s">
        <v>44</v>
      </c>
      <c r="F2" s="83">
        <v>2026465</v>
      </c>
      <c r="G2" s="84">
        <v>0.3</v>
      </c>
      <c r="H2" s="83">
        <f>G2*F2</f>
        <v>607939.5</v>
      </c>
      <c r="I2" s="82" t="s">
        <v>110</v>
      </c>
      <c r="J2" s="85">
        <v>45890</v>
      </c>
      <c r="K2" s="85">
        <v>45791</v>
      </c>
      <c r="L2" s="85">
        <f>K2+99</f>
        <v>45890</v>
      </c>
      <c r="M2" s="86">
        <v>30</v>
      </c>
      <c r="N2" s="85">
        <f t="shared" ref="N2:N33" si="0">J2+M2</f>
        <v>45920</v>
      </c>
      <c r="O2" s="85">
        <v>45920</v>
      </c>
      <c r="P2" s="87">
        <v>45950</v>
      </c>
      <c r="Q2" s="86">
        <f>K2-J2</f>
        <v>-99</v>
      </c>
      <c r="R2" s="82"/>
      <c r="S2" s="12">
        <v>607939.5</v>
      </c>
      <c r="T2" s="88" t="s">
        <v>111</v>
      </c>
    </row>
    <row r="3" spans="1:20" ht="14.1">
      <c r="A3" s="79">
        <v>2023</v>
      </c>
      <c r="B3" s="80">
        <v>2</v>
      </c>
      <c r="C3" s="81" t="s">
        <v>31</v>
      </c>
      <c r="D3" s="81">
        <v>18291861</v>
      </c>
      <c r="E3" s="82" t="s">
        <v>44</v>
      </c>
      <c r="F3" s="83">
        <v>0</v>
      </c>
      <c r="G3" s="84">
        <v>0.7</v>
      </c>
      <c r="H3" s="83">
        <f>G3*F2</f>
        <v>1418525.5</v>
      </c>
      <c r="I3" s="82" t="s">
        <v>110</v>
      </c>
      <c r="J3" s="85">
        <v>45967</v>
      </c>
      <c r="K3" s="85">
        <v>45877</v>
      </c>
      <c r="L3" s="85">
        <f t="shared" ref="L3:L60" si="1">K3+99</f>
        <v>45976</v>
      </c>
      <c r="M3" s="86">
        <v>30</v>
      </c>
      <c r="N3" s="85">
        <f t="shared" si="0"/>
        <v>45997</v>
      </c>
      <c r="O3" s="85">
        <v>46006</v>
      </c>
      <c r="P3" s="85"/>
      <c r="Q3" s="86"/>
      <c r="R3" s="82"/>
      <c r="S3" s="12">
        <v>1418525.5</v>
      </c>
      <c r="T3" s="89" t="s">
        <v>112</v>
      </c>
    </row>
    <row r="4" spans="1:20" ht="14.1">
      <c r="A4" s="90">
        <v>2022</v>
      </c>
      <c r="B4" s="91">
        <v>5</v>
      </c>
      <c r="C4" s="91" t="s">
        <v>31</v>
      </c>
      <c r="D4" s="91">
        <v>17999583</v>
      </c>
      <c r="E4" s="92" t="s">
        <v>89</v>
      </c>
      <c r="F4" s="93">
        <v>2933000</v>
      </c>
      <c r="G4" s="94">
        <v>0.05</v>
      </c>
      <c r="H4" s="95">
        <f>41900/2</f>
        <v>20950</v>
      </c>
      <c r="I4" s="91" t="s">
        <v>110</v>
      </c>
      <c r="J4" s="96">
        <v>45328</v>
      </c>
      <c r="K4" s="97">
        <v>45165</v>
      </c>
      <c r="L4" s="85">
        <f t="shared" si="1"/>
        <v>45264</v>
      </c>
      <c r="M4" s="98">
        <v>45</v>
      </c>
      <c r="N4" s="85">
        <f t="shared" si="0"/>
        <v>45373</v>
      </c>
      <c r="O4" s="85">
        <v>45309</v>
      </c>
      <c r="P4" s="87">
        <v>45937</v>
      </c>
      <c r="Q4" s="86">
        <f>K4-J4</f>
        <v>-163</v>
      </c>
      <c r="R4" s="82">
        <f>P4-O4</f>
        <v>628</v>
      </c>
      <c r="S4" s="99">
        <v>146650</v>
      </c>
      <c r="T4" s="88" t="s">
        <v>111</v>
      </c>
    </row>
    <row r="5" spans="1:20" ht="84.95" customHeight="1">
      <c r="A5" s="3">
        <v>2023</v>
      </c>
      <c r="B5" s="4">
        <v>3</v>
      </c>
      <c r="C5" s="81" t="s">
        <v>113</v>
      </c>
      <c r="D5" s="4">
        <v>18210304</v>
      </c>
      <c r="E5" s="81" t="s">
        <v>32</v>
      </c>
      <c r="F5" s="12">
        <v>9376206</v>
      </c>
      <c r="G5" s="84">
        <v>0.2</v>
      </c>
      <c r="H5" s="12">
        <v>264091</v>
      </c>
      <c r="I5" s="81" t="s">
        <v>110</v>
      </c>
      <c r="J5" s="87">
        <v>45639</v>
      </c>
      <c r="K5" s="87">
        <v>45639</v>
      </c>
      <c r="L5" s="85">
        <f t="shared" si="1"/>
        <v>45738</v>
      </c>
      <c r="M5" s="100">
        <v>60</v>
      </c>
      <c r="N5" s="85">
        <f t="shared" si="0"/>
        <v>45699</v>
      </c>
      <c r="O5" s="85">
        <v>45798</v>
      </c>
      <c r="P5" s="87">
        <v>45853</v>
      </c>
      <c r="Q5" s="86">
        <f>K5-J5</f>
        <v>0</v>
      </c>
      <c r="R5" s="82">
        <f>P5-O5</f>
        <v>55</v>
      </c>
      <c r="S5" s="12">
        <v>1848637</v>
      </c>
      <c r="T5" s="89" t="s">
        <v>111</v>
      </c>
    </row>
    <row r="6" spans="1:20" ht="14.1">
      <c r="A6" s="3">
        <v>2023</v>
      </c>
      <c r="B6" s="4">
        <v>4</v>
      </c>
      <c r="C6" s="81" t="s">
        <v>31</v>
      </c>
      <c r="D6" s="4">
        <v>18210304</v>
      </c>
      <c r="E6" s="81" t="s">
        <v>32</v>
      </c>
      <c r="F6" s="12">
        <v>0</v>
      </c>
      <c r="G6" s="84">
        <v>0.3</v>
      </c>
      <c r="H6" s="12">
        <f>415140</f>
        <v>415140</v>
      </c>
      <c r="I6" s="81" t="s">
        <v>110</v>
      </c>
      <c r="J6" s="87">
        <v>45906</v>
      </c>
      <c r="K6" s="101">
        <v>45791</v>
      </c>
      <c r="L6" s="85">
        <f t="shared" si="1"/>
        <v>45890</v>
      </c>
      <c r="M6" s="100">
        <v>60</v>
      </c>
      <c r="N6" s="85">
        <f t="shared" si="0"/>
        <v>45966</v>
      </c>
      <c r="O6" s="85">
        <v>45950</v>
      </c>
      <c r="P6" s="101">
        <v>45996</v>
      </c>
      <c r="Q6" s="86">
        <f>K6-J6</f>
        <v>-115</v>
      </c>
      <c r="R6" s="82"/>
      <c r="S6" s="12">
        <v>2905980</v>
      </c>
      <c r="T6" s="89" t="s">
        <v>111</v>
      </c>
    </row>
    <row r="7" spans="1:20" ht="14.1">
      <c r="A7" s="3">
        <v>2023</v>
      </c>
      <c r="B7" s="4">
        <v>5</v>
      </c>
      <c r="C7" s="81" t="s">
        <v>31</v>
      </c>
      <c r="D7" s="4">
        <v>18210304</v>
      </c>
      <c r="E7" s="81" t="s">
        <v>32</v>
      </c>
      <c r="F7" s="12">
        <v>0</v>
      </c>
      <c r="G7" s="84">
        <v>0.1</v>
      </c>
      <c r="H7" s="12">
        <v>132045.5</v>
      </c>
      <c r="I7" s="81" t="s">
        <v>110</v>
      </c>
      <c r="J7" s="87">
        <v>45998</v>
      </c>
      <c r="K7" s="85">
        <v>45877</v>
      </c>
      <c r="L7" s="85">
        <f t="shared" si="1"/>
        <v>45976</v>
      </c>
      <c r="M7" s="100">
        <v>60</v>
      </c>
      <c r="N7" s="85">
        <f t="shared" si="0"/>
        <v>46058</v>
      </c>
      <c r="O7" s="85">
        <v>46036</v>
      </c>
      <c r="P7" s="101"/>
      <c r="Q7" s="86"/>
      <c r="R7" s="82"/>
      <c r="S7" s="12">
        <v>924318.5</v>
      </c>
      <c r="T7" s="89" t="s">
        <v>112</v>
      </c>
    </row>
    <row r="8" spans="1:20" ht="37.5" customHeight="1">
      <c r="A8" s="3">
        <v>2024</v>
      </c>
      <c r="B8" s="81">
        <v>2</v>
      </c>
      <c r="C8" s="81" t="s">
        <v>31</v>
      </c>
      <c r="D8" s="4">
        <v>18407648</v>
      </c>
      <c r="E8" s="81" t="s">
        <v>49</v>
      </c>
      <c r="F8" s="12">
        <v>3251500</v>
      </c>
      <c r="G8" s="102">
        <v>0.3</v>
      </c>
      <c r="H8" s="103">
        <v>139350</v>
      </c>
      <c r="I8" s="81" t="s">
        <v>110</v>
      </c>
      <c r="J8" s="87">
        <v>45845</v>
      </c>
      <c r="K8" s="87">
        <v>45378</v>
      </c>
      <c r="L8" s="85">
        <f t="shared" si="1"/>
        <v>45477</v>
      </c>
      <c r="M8" s="100">
        <v>30</v>
      </c>
      <c r="N8" s="85">
        <f t="shared" si="0"/>
        <v>45875</v>
      </c>
      <c r="O8" s="85">
        <v>45507</v>
      </c>
      <c r="P8" s="87">
        <v>45904</v>
      </c>
      <c r="Q8" s="86">
        <f>K8-J8</f>
        <v>-467</v>
      </c>
      <c r="R8" s="82">
        <f>P8-O8</f>
        <v>397</v>
      </c>
      <c r="S8" s="12">
        <v>975450</v>
      </c>
      <c r="T8" s="89" t="s">
        <v>111</v>
      </c>
    </row>
    <row r="9" spans="1:20" ht="14.1">
      <c r="A9" s="3">
        <v>2024</v>
      </c>
      <c r="B9" s="81">
        <v>3</v>
      </c>
      <c r="C9" s="81" t="s">
        <v>31</v>
      </c>
      <c r="D9" s="4">
        <v>18407648</v>
      </c>
      <c r="E9" s="81" t="s">
        <v>49</v>
      </c>
      <c r="F9" s="12">
        <v>0</v>
      </c>
      <c r="G9" s="102">
        <v>0.5</v>
      </c>
      <c r="H9" s="103">
        <f>232250</f>
        <v>232250</v>
      </c>
      <c r="I9" s="81" t="s">
        <v>110</v>
      </c>
      <c r="J9" s="87">
        <v>45967</v>
      </c>
      <c r="K9" s="87"/>
      <c r="L9" s="85"/>
      <c r="M9" s="100">
        <v>30</v>
      </c>
      <c r="N9" s="85">
        <f t="shared" si="0"/>
        <v>45997</v>
      </c>
      <c r="O9" s="85"/>
      <c r="P9" s="3"/>
      <c r="Q9" s="86"/>
      <c r="R9" s="82">
        <f>P9-O9</f>
        <v>0</v>
      </c>
      <c r="S9" s="12">
        <v>1625750</v>
      </c>
      <c r="T9" s="82" t="s">
        <v>114</v>
      </c>
    </row>
    <row r="10" spans="1:20" ht="14.1">
      <c r="A10" s="3" t="s">
        <v>62</v>
      </c>
      <c r="B10" s="81">
        <v>4</v>
      </c>
      <c r="C10" s="81" t="s">
        <v>31</v>
      </c>
      <c r="D10" s="4">
        <v>18407648</v>
      </c>
      <c r="E10" s="81" t="s">
        <v>49</v>
      </c>
      <c r="F10" s="12">
        <v>0</v>
      </c>
      <c r="G10" s="102">
        <v>0.1</v>
      </c>
      <c r="H10" s="103">
        <v>46450</v>
      </c>
      <c r="I10" s="81" t="s">
        <v>110</v>
      </c>
      <c r="J10" s="87">
        <v>45998</v>
      </c>
      <c r="K10" s="87"/>
      <c r="L10" s="85"/>
      <c r="M10" s="100">
        <v>30</v>
      </c>
      <c r="N10" s="85">
        <f t="shared" si="0"/>
        <v>46028</v>
      </c>
      <c r="O10" s="85"/>
      <c r="P10" s="3"/>
      <c r="Q10" s="86"/>
      <c r="R10" s="82">
        <f>P10-O10</f>
        <v>0</v>
      </c>
      <c r="S10" s="12">
        <v>325150</v>
      </c>
      <c r="T10" s="82" t="s">
        <v>114</v>
      </c>
    </row>
    <row r="11" spans="1:20" ht="14.1">
      <c r="A11" s="3">
        <v>2024</v>
      </c>
      <c r="B11" s="4">
        <v>1</v>
      </c>
      <c r="C11" s="4" t="s">
        <v>31</v>
      </c>
      <c r="D11" s="4">
        <v>18492257</v>
      </c>
      <c r="E11" s="4" t="s">
        <v>53</v>
      </c>
      <c r="F11" s="12">
        <v>462000</v>
      </c>
      <c r="G11" s="84">
        <v>0.5</v>
      </c>
      <c r="H11" s="103">
        <v>30000</v>
      </c>
      <c r="I11" s="4" t="s">
        <v>110</v>
      </c>
      <c r="J11" s="101">
        <v>45891</v>
      </c>
      <c r="K11" s="101">
        <v>45791</v>
      </c>
      <c r="L11" s="85">
        <f t="shared" si="1"/>
        <v>45890</v>
      </c>
      <c r="M11" s="3">
        <v>30</v>
      </c>
      <c r="N11" s="85">
        <f t="shared" si="0"/>
        <v>45921</v>
      </c>
      <c r="O11" s="85">
        <v>45920</v>
      </c>
      <c r="P11" s="3"/>
      <c r="Q11" s="86">
        <f>K11-J11</f>
        <v>-100</v>
      </c>
      <c r="R11" s="82"/>
      <c r="S11" s="12">
        <v>210000</v>
      </c>
      <c r="T11" s="89" t="s">
        <v>115</v>
      </c>
    </row>
    <row r="12" spans="1:20" ht="14.1">
      <c r="A12" s="3">
        <v>2024</v>
      </c>
      <c r="B12" s="4">
        <v>2</v>
      </c>
      <c r="C12" s="4" t="s">
        <v>31</v>
      </c>
      <c r="D12" s="4">
        <v>18492257</v>
      </c>
      <c r="E12" s="4" t="s">
        <v>53</v>
      </c>
      <c r="F12" s="12">
        <v>0</v>
      </c>
      <c r="G12" s="84">
        <v>0.5</v>
      </c>
      <c r="H12" s="103">
        <v>36000</v>
      </c>
      <c r="I12" s="4" t="s">
        <v>110</v>
      </c>
      <c r="J12" s="101">
        <v>45967</v>
      </c>
      <c r="K12" s="101">
        <v>45862</v>
      </c>
      <c r="L12" s="85">
        <f t="shared" si="1"/>
        <v>45961</v>
      </c>
      <c r="M12" s="3">
        <v>30</v>
      </c>
      <c r="N12" s="85">
        <f t="shared" si="0"/>
        <v>45997</v>
      </c>
      <c r="O12" s="85">
        <v>45991</v>
      </c>
      <c r="P12" s="3"/>
      <c r="Q12" s="86"/>
      <c r="R12" s="82"/>
      <c r="S12" s="12">
        <v>252000</v>
      </c>
      <c r="T12" s="82" t="s">
        <v>112</v>
      </c>
    </row>
    <row r="13" spans="1:20" ht="14.1">
      <c r="A13" s="3">
        <v>2025</v>
      </c>
      <c r="B13" s="4">
        <v>1</v>
      </c>
      <c r="C13" s="4" t="s">
        <v>31</v>
      </c>
      <c r="D13" s="4">
        <v>18664359</v>
      </c>
      <c r="E13" s="4" t="s">
        <v>53</v>
      </c>
      <c r="F13" s="12">
        <v>1193500</v>
      </c>
      <c r="G13" s="84">
        <v>0.15</v>
      </c>
      <c r="H13" s="103">
        <v>24000</v>
      </c>
      <c r="I13" s="4" t="s">
        <v>110</v>
      </c>
      <c r="J13" s="101">
        <v>45876</v>
      </c>
      <c r="K13" s="101">
        <v>45792</v>
      </c>
      <c r="L13" s="85">
        <f t="shared" si="1"/>
        <v>45891</v>
      </c>
      <c r="M13" s="3">
        <v>30</v>
      </c>
      <c r="N13" s="85">
        <f t="shared" si="0"/>
        <v>45906</v>
      </c>
      <c r="O13" s="85">
        <v>45921</v>
      </c>
      <c r="P13" s="101">
        <v>45994</v>
      </c>
      <c r="Q13" s="86">
        <f>K13-J13</f>
        <v>-84</v>
      </c>
      <c r="R13" s="82">
        <f>P13-O13</f>
        <v>73</v>
      </c>
      <c r="S13" s="12">
        <v>168000</v>
      </c>
      <c r="T13" s="89" t="s">
        <v>111</v>
      </c>
    </row>
    <row r="14" spans="1:20" ht="14.1">
      <c r="A14" s="3">
        <v>2025</v>
      </c>
      <c r="B14" s="4">
        <v>2</v>
      </c>
      <c r="C14" s="4" t="s">
        <v>31</v>
      </c>
      <c r="D14" s="4">
        <v>18664359</v>
      </c>
      <c r="E14" s="4" t="s">
        <v>53</v>
      </c>
      <c r="F14" s="12">
        <v>0</v>
      </c>
      <c r="G14" s="84">
        <v>0.35</v>
      </c>
      <c r="H14" s="103">
        <v>61250</v>
      </c>
      <c r="I14" s="4" t="s">
        <v>110</v>
      </c>
      <c r="J14" s="101">
        <v>45967</v>
      </c>
      <c r="K14" s="101">
        <v>45862</v>
      </c>
      <c r="L14" s="85">
        <f t="shared" si="1"/>
        <v>45961</v>
      </c>
      <c r="M14" s="3">
        <v>30</v>
      </c>
      <c r="N14" s="85">
        <f t="shared" si="0"/>
        <v>45997</v>
      </c>
      <c r="O14" s="85">
        <v>45991</v>
      </c>
      <c r="P14" s="3"/>
      <c r="Q14" s="86"/>
      <c r="R14" s="82"/>
      <c r="S14" s="12">
        <v>428750</v>
      </c>
      <c r="T14" s="89" t="s">
        <v>115</v>
      </c>
    </row>
    <row r="15" spans="1:20" ht="14.1">
      <c r="A15" s="3">
        <v>2025</v>
      </c>
      <c r="B15" s="4">
        <v>3</v>
      </c>
      <c r="C15" s="4" t="s">
        <v>31</v>
      </c>
      <c r="D15" s="4">
        <v>18664359</v>
      </c>
      <c r="E15" s="4" t="s">
        <v>53</v>
      </c>
      <c r="F15" s="12">
        <v>0</v>
      </c>
      <c r="G15" s="84">
        <v>0.5</v>
      </c>
      <c r="H15" s="103">
        <f>G15*F13</f>
        <v>596750</v>
      </c>
      <c r="I15" s="4" t="s">
        <v>110</v>
      </c>
      <c r="J15" s="101">
        <v>45975</v>
      </c>
      <c r="K15" s="5"/>
      <c r="L15" s="85"/>
      <c r="M15" s="3">
        <v>30</v>
      </c>
      <c r="N15" s="85">
        <f t="shared" si="0"/>
        <v>46005</v>
      </c>
      <c r="O15" s="85"/>
      <c r="P15" s="3"/>
      <c r="Q15" s="86"/>
      <c r="R15" s="82">
        <f>P15-O15</f>
        <v>0</v>
      </c>
      <c r="S15" s="12">
        <v>596750</v>
      </c>
      <c r="T15" s="82" t="s">
        <v>114</v>
      </c>
    </row>
    <row r="16" spans="1:20" ht="14.1">
      <c r="A16" s="3">
        <v>2025</v>
      </c>
      <c r="B16" s="3">
        <v>1</v>
      </c>
      <c r="C16" s="4" t="s">
        <v>31</v>
      </c>
      <c r="D16" s="3">
        <v>18721178</v>
      </c>
      <c r="E16" s="4" t="s">
        <v>53</v>
      </c>
      <c r="F16" s="12">
        <v>1442000</v>
      </c>
      <c r="G16" s="84">
        <v>0.15</v>
      </c>
      <c r="H16" s="103">
        <f>G16*F16</f>
        <v>216300</v>
      </c>
      <c r="I16" s="4" t="s">
        <v>110</v>
      </c>
      <c r="J16" s="101">
        <v>45889</v>
      </c>
      <c r="K16" s="101">
        <v>45791</v>
      </c>
      <c r="L16" s="85">
        <f t="shared" si="1"/>
        <v>45890</v>
      </c>
      <c r="M16" s="3">
        <v>30</v>
      </c>
      <c r="N16" s="85">
        <f t="shared" si="0"/>
        <v>45919</v>
      </c>
      <c r="O16" s="85">
        <v>45920</v>
      </c>
      <c r="P16" s="3"/>
      <c r="Q16" s="86">
        <f>K16-J16</f>
        <v>-98</v>
      </c>
      <c r="R16" s="82"/>
      <c r="S16" s="12">
        <v>216300</v>
      </c>
      <c r="T16" s="3" t="s">
        <v>112</v>
      </c>
    </row>
    <row r="17" spans="1:20" ht="14.1">
      <c r="A17" s="3">
        <v>2025</v>
      </c>
      <c r="B17" s="3">
        <v>2</v>
      </c>
      <c r="C17" s="4" t="s">
        <v>31</v>
      </c>
      <c r="D17" s="3">
        <v>18721178</v>
      </c>
      <c r="E17" s="4" t="s">
        <v>53</v>
      </c>
      <c r="F17" s="12">
        <v>0</v>
      </c>
      <c r="G17" s="84">
        <v>0.35</v>
      </c>
      <c r="H17" s="103">
        <f>G17*F16</f>
        <v>504699.99999999994</v>
      </c>
      <c r="I17" s="4" t="s">
        <v>110</v>
      </c>
      <c r="J17" s="101">
        <v>45979</v>
      </c>
      <c r="K17" s="5"/>
      <c r="L17" s="85"/>
      <c r="M17" s="3">
        <v>30</v>
      </c>
      <c r="N17" s="85">
        <f t="shared" si="0"/>
        <v>46009</v>
      </c>
      <c r="O17" s="85"/>
      <c r="P17" s="3"/>
      <c r="Q17" s="86"/>
      <c r="R17" s="82">
        <f t="shared" ref="R17:R22" si="2">P17-O17</f>
        <v>0</v>
      </c>
      <c r="S17" s="12">
        <v>504700</v>
      </c>
      <c r="T17" s="82" t="s">
        <v>114</v>
      </c>
    </row>
    <row r="18" spans="1:20" ht="14.1">
      <c r="A18" s="31">
        <v>2025</v>
      </c>
      <c r="B18" s="31">
        <v>3</v>
      </c>
      <c r="C18" s="104" t="s">
        <v>31</v>
      </c>
      <c r="D18" s="31">
        <v>18721178</v>
      </c>
      <c r="E18" s="104" t="s">
        <v>53</v>
      </c>
      <c r="F18" s="33">
        <v>0</v>
      </c>
      <c r="G18" s="105">
        <v>0.5</v>
      </c>
      <c r="H18" s="106">
        <f>G18*F16</f>
        <v>721000</v>
      </c>
      <c r="I18" s="104" t="s">
        <v>110</v>
      </c>
      <c r="J18" s="107">
        <v>46057</v>
      </c>
      <c r="K18" s="32"/>
      <c r="L18" s="85"/>
      <c r="M18" s="31">
        <v>30</v>
      </c>
      <c r="N18" s="85">
        <f t="shared" si="0"/>
        <v>46087</v>
      </c>
      <c r="O18" s="85"/>
      <c r="P18" s="31"/>
      <c r="Q18" s="86"/>
      <c r="R18" s="82">
        <f t="shared" si="2"/>
        <v>0</v>
      </c>
      <c r="S18" s="33">
        <v>721000</v>
      </c>
      <c r="T18" s="82" t="s">
        <v>114</v>
      </c>
    </row>
    <row r="19" spans="1:20" ht="14.1">
      <c r="A19" s="29">
        <v>2022</v>
      </c>
      <c r="B19" s="112">
        <v>1</v>
      </c>
      <c r="C19" s="28" t="s">
        <v>74</v>
      </c>
      <c r="D19" s="29" t="s">
        <v>116</v>
      </c>
      <c r="E19" s="29" t="s">
        <v>92</v>
      </c>
      <c r="F19" s="34">
        <v>1015000</v>
      </c>
      <c r="G19" s="108">
        <v>1</v>
      </c>
      <c r="H19" s="109">
        <v>145000</v>
      </c>
      <c r="I19" s="28" t="s">
        <v>110</v>
      </c>
      <c r="J19" s="110">
        <v>45755</v>
      </c>
      <c r="K19" s="111">
        <v>45708</v>
      </c>
      <c r="L19" s="85">
        <f t="shared" si="1"/>
        <v>45807</v>
      </c>
      <c r="M19" s="29">
        <v>30</v>
      </c>
      <c r="N19" s="85">
        <f t="shared" si="0"/>
        <v>45785</v>
      </c>
      <c r="O19" s="85">
        <v>45837</v>
      </c>
      <c r="P19" s="110">
        <v>45899</v>
      </c>
      <c r="Q19" s="86">
        <f>K19-J19</f>
        <v>-47</v>
      </c>
      <c r="R19" s="82">
        <f t="shared" si="2"/>
        <v>62</v>
      </c>
      <c r="S19" s="109">
        <v>1015000</v>
      </c>
      <c r="T19" s="29" t="s">
        <v>111</v>
      </c>
    </row>
    <row r="20" spans="1:20" ht="14.1">
      <c r="A20" s="29">
        <v>2022</v>
      </c>
      <c r="B20" s="112">
        <v>1</v>
      </c>
      <c r="C20" s="28" t="s">
        <v>74</v>
      </c>
      <c r="D20" s="29">
        <v>18112129</v>
      </c>
      <c r="E20" s="29" t="s">
        <v>53</v>
      </c>
      <c r="F20" s="34">
        <v>444500</v>
      </c>
      <c r="G20" s="108">
        <v>1</v>
      </c>
      <c r="H20" s="109">
        <v>63500</v>
      </c>
      <c r="I20" s="28" t="s">
        <v>110</v>
      </c>
      <c r="J20" s="110">
        <v>45725</v>
      </c>
      <c r="K20" s="111">
        <v>45637</v>
      </c>
      <c r="L20" s="85">
        <f t="shared" si="1"/>
        <v>45736</v>
      </c>
      <c r="M20" s="29">
        <v>30</v>
      </c>
      <c r="N20" s="85">
        <f t="shared" si="0"/>
        <v>45755</v>
      </c>
      <c r="O20" s="85">
        <v>45766</v>
      </c>
      <c r="P20" s="110">
        <v>45827</v>
      </c>
      <c r="Q20" s="86">
        <f>K20-J20</f>
        <v>-88</v>
      </c>
      <c r="R20" s="82">
        <f t="shared" si="2"/>
        <v>61</v>
      </c>
      <c r="S20" s="109">
        <v>444500</v>
      </c>
      <c r="T20" s="29" t="s">
        <v>111</v>
      </c>
    </row>
    <row r="21" spans="1:20" ht="14.1">
      <c r="A21" s="29" t="s">
        <v>74</v>
      </c>
      <c r="B21" s="112">
        <v>4</v>
      </c>
      <c r="C21" s="28" t="s">
        <v>74</v>
      </c>
      <c r="D21" s="29">
        <v>18185328</v>
      </c>
      <c r="E21" s="29" t="s">
        <v>117</v>
      </c>
      <c r="F21" s="34">
        <v>1211000</v>
      </c>
      <c r="G21" s="108">
        <v>0.35</v>
      </c>
      <c r="H21" s="109">
        <v>60550</v>
      </c>
      <c r="I21" s="28" t="s">
        <v>110</v>
      </c>
      <c r="J21" s="110">
        <v>45740</v>
      </c>
      <c r="K21" s="111">
        <v>45727</v>
      </c>
      <c r="L21" s="85">
        <f t="shared" si="1"/>
        <v>45826</v>
      </c>
      <c r="M21" s="29">
        <v>30</v>
      </c>
      <c r="N21" s="85">
        <f t="shared" si="0"/>
        <v>45770</v>
      </c>
      <c r="O21" s="85">
        <v>45856</v>
      </c>
      <c r="P21" s="110">
        <v>45836</v>
      </c>
      <c r="Q21" s="86">
        <f>K21-J21</f>
        <v>-13</v>
      </c>
      <c r="R21" s="82">
        <f t="shared" si="2"/>
        <v>-20</v>
      </c>
      <c r="S21" s="109">
        <v>423850</v>
      </c>
      <c r="T21" s="29" t="s">
        <v>111</v>
      </c>
    </row>
    <row r="22" spans="1:20" ht="14.1">
      <c r="A22" s="29">
        <v>2023</v>
      </c>
      <c r="B22" s="112">
        <v>5</v>
      </c>
      <c r="C22" s="28" t="s">
        <v>74</v>
      </c>
      <c r="D22" s="29">
        <v>18185328</v>
      </c>
      <c r="E22" s="29" t="s">
        <v>117</v>
      </c>
      <c r="F22" s="34">
        <v>0</v>
      </c>
      <c r="G22" s="108">
        <v>0.05</v>
      </c>
      <c r="H22" s="109">
        <f>8650+1100</f>
        <v>9750</v>
      </c>
      <c r="I22" s="28" t="s">
        <v>110</v>
      </c>
      <c r="J22" s="110">
        <v>45511</v>
      </c>
      <c r="K22" s="27"/>
      <c r="L22" s="85"/>
      <c r="M22" s="29">
        <v>30</v>
      </c>
      <c r="N22" s="85">
        <f t="shared" si="0"/>
        <v>45541</v>
      </c>
      <c r="O22" s="85"/>
      <c r="P22" s="29"/>
      <c r="Q22" s="86"/>
      <c r="R22" s="82">
        <f t="shared" si="2"/>
        <v>0</v>
      </c>
      <c r="S22" s="109">
        <v>68250</v>
      </c>
      <c r="T22" s="82" t="s">
        <v>114</v>
      </c>
    </row>
    <row r="23" spans="1:20" ht="14.1">
      <c r="A23" s="29">
        <v>2023</v>
      </c>
      <c r="B23" s="112">
        <v>2</v>
      </c>
      <c r="C23" s="28" t="s">
        <v>74</v>
      </c>
      <c r="D23" s="29">
        <v>18351480</v>
      </c>
      <c r="E23" s="29" t="s">
        <v>118</v>
      </c>
      <c r="F23" s="34">
        <v>4222316</v>
      </c>
      <c r="G23" s="108">
        <v>0.2</v>
      </c>
      <c r="H23" s="109">
        <v>120637.6</v>
      </c>
      <c r="I23" s="28" t="s">
        <v>110</v>
      </c>
      <c r="J23" s="110">
        <v>45836</v>
      </c>
      <c r="K23" s="111">
        <v>45749</v>
      </c>
      <c r="L23" s="85">
        <f t="shared" si="1"/>
        <v>45848</v>
      </c>
      <c r="M23" s="29">
        <v>30</v>
      </c>
      <c r="N23" s="85">
        <f t="shared" si="0"/>
        <v>45866</v>
      </c>
      <c r="O23" s="85">
        <v>45878</v>
      </c>
      <c r="P23" s="29"/>
      <c r="Q23" s="86">
        <f>K23-J23</f>
        <v>-87</v>
      </c>
      <c r="R23" s="82"/>
      <c r="S23" s="109">
        <v>844463.20000000007</v>
      </c>
      <c r="T23" s="89" t="s">
        <v>115</v>
      </c>
    </row>
    <row r="24" spans="1:20" ht="14.1">
      <c r="A24" s="29">
        <v>2023</v>
      </c>
      <c r="B24" s="112">
        <v>3</v>
      </c>
      <c r="C24" s="28" t="s">
        <v>74</v>
      </c>
      <c r="D24" s="29">
        <v>18351480</v>
      </c>
      <c r="E24" s="29" t="s">
        <v>118</v>
      </c>
      <c r="F24" s="34">
        <v>0</v>
      </c>
      <c r="G24" s="108">
        <v>0.5</v>
      </c>
      <c r="H24" s="109">
        <v>301594</v>
      </c>
      <c r="I24" s="28" t="s">
        <v>110</v>
      </c>
      <c r="J24" s="110">
        <v>45966</v>
      </c>
      <c r="K24" s="27"/>
      <c r="L24" s="85"/>
      <c r="M24" s="29">
        <v>30</v>
      </c>
      <c r="N24" s="85">
        <f t="shared" si="0"/>
        <v>45996</v>
      </c>
      <c r="O24" s="85"/>
      <c r="P24" s="29"/>
      <c r="Q24" s="86"/>
      <c r="R24" s="82">
        <f t="shared" ref="R24:R30" si="3">P24-O24</f>
        <v>0</v>
      </c>
      <c r="S24" s="109">
        <v>2111158</v>
      </c>
      <c r="T24" s="82" t="s">
        <v>114</v>
      </c>
    </row>
    <row r="25" spans="1:20" ht="14.1">
      <c r="A25" s="29">
        <v>2023</v>
      </c>
      <c r="B25" s="112">
        <v>4</v>
      </c>
      <c r="C25" s="28" t="s">
        <v>74</v>
      </c>
      <c r="D25" s="29">
        <v>18351480</v>
      </c>
      <c r="E25" s="29" t="s">
        <v>118</v>
      </c>
      <c r="F25" s="34">
        <v>0</v>
      </c>
      <c r="G25" s="108">
        <v>0.1</v>
      </c>
      <c r="H25" s="109">
        <v>60318.8</v>
      </c>
      <c r="I25" s="28" t="s">
        <v>110</v>
      </c>
      <c r="J25" s="110">
        <v>45983</v>
      </c>
      <c r="K25" s="27"/>
      <c r="L25" s="85"/>
      <c r="M25" s="29">
        <v>30</v>
      </c>
      <c r="N25" s="85">
        <f t="shared" si="0"/>
        <v>46013</v>
      </c>
      <c r="O25" s="85"/>
      <c r="P25" s="29"/>
      <c r="Q25" s="86"/>
      <c r="R25" s="82">
        <f t="shared" si="3"/>
        <v>0</v>
      </c>
      <c r="S25" s="109">
        <v>422231.60000000003</v>
      </c>
      <c r="T25" s="82" t="s">
        <v>114</v>
      </c>
    </row>
    <row r="26" spans="1:20" ht="14.1">
      <c r="A26" s="29">
        <v>2022</v>
      </c>
      <c r="B26" s="112">
        <v>1</v>
      </c>
      <c r="C26" s="28" t="s">
        <v>74</v>
      </c>
      <c r="D26" s="29">
        <v>18105486</v>
      </c>
      <c r="E26" s="29" t="s">
        <v>119</v>
      </c>
      <c r="F26" s="34">
        <v>4838957.97</v>
      </c>
      <c r="G26" s="108">
        <v>0.45</v>
      </c>
      <c r="H26" s="109">
        <v>311075.87</v>
      </c>
      <c r="I26" s="28" t="s">
        <v>110</v>
      </c>
      <c r="J26" s="110">
        <v>45650</v>
      </c>
      <c r="K26" s="111">
        <v>45574</v>
      </c>
      <c r="L26" s="85">
        <f t="shared" si="1"/>
        <v>45673</v>
      </c>
      <c r="M26" s="29">
        <v>30</v>
      </c>
      <c r="N26" s="85">
        <f t="shared" si="0"/>
        <v>45680</v>
      </c>
      <c r="O26" s="85">
        <v>45703</v>
      </c>
      <c r="P26" s="110">
        <v>45765</v>
      </c>
      <c r="Q26" s="86">
        <f>K26-J26</f>
        <v>-76</v>
      </c>
      <c r="R26" s="82">
        <f t="shared" si="3"/>
        <v>62</v>
      </c>
      <c r="S26" s="113">
        <v>2177531.09</v>
      </c>
      <c r="T26" s="29" t="s">
        <v>111</v>
      </c>
    </row>
    <row r="27" spans="1:20" ht="14.1">
      <c r="A27" s="29">
        <v>2022</v>
      </c>
      <c r="B27" s="112">
        <v>2</v>
      </c>
      <c r="C27" s="28" t="s">
        <v>74</v>
      </c>
      <c r="D27" s="29">
        <v>18105486</v>
      </c>
      <c r="E27" s="29" t="s">
        <v>119</v>
      </c>
      <c r="F27" s="34">
        <v>0</v>
      </c>
      <c r="G27" s="108">
        <v>0.18</v>
      </c>
      <c r="H27" s="109">
        <v>124430.35</v>
      </c>
      <c r="I27" s="28" t="s">
        <v>110</v>
      </c>
      <c r="J27" s="110">
        <v>45650</v>
      </c>
      <c r="K27" s="111">
        <v>45580</v>
      </c>
      <c r="L27" s="85">
        <f t="shared" si="1"/>
        <v>45679</v>
      </c>
      <c r="M27" s="29">
        <v>30</v>
      </c>
      <c r="N27" s="85">
        <f t="shared" si="0"/>
        <v>45680</v>
      </c>
      <c r="O27" s="85">
        <v>45709</v>
      </c>
      <c r="P27" s="110">
        <v>45765</v>
      </c>
      <c r="Q27" s="86">
        <f>K27-J27</f>
        <v>-70</v>
      </c>
      <c r="R27" s="82">
        <f t="shared" si="3"/>
        <v>56</v>
      </c>
      <c r="S27" s="113">
        <v>871012.45000000007</v>
      </c>
      <c r="T27" s="29" t="s">
        <v>111</v>
      </c>
    </row>
    <row r="28" spans="1:20" ht="14.1">
      <c r="A28" s="29">
        <v>2022</v>
      </c>
      <c r="B28" s="112">
        <v>3</v>
      </c>
      <c r="C28" s="28" t="s">
        <v>74</v>
      </c>
      <c r="D28" s="29">
        <v>18105486</v>
      </c>
      <c r="E28" s="29" t="s">
        <v>119</v>
      </c>
      <c r="F28" s="34">
        <v>0</v>
      </c>
      <c r="G28" s="108">
        <v>0.27</v>
      </c>
      <c r="H28" s="109">
        <v>186645.52</v>
      </c>
      <c r="I28" s="28" t="s">
        <v>110</v>
      </c>
      <c r="J28" s="110">
        <v>45725</v>
      </c>
      <c r="K28" s="111">
        <v>45713</v>
      </c>
      <c r="L28" s="85">
        <f t="shared" si="1"/>
        <v>45812</v>
      </c>
      <c r="M28" s="29">
        <v>30</v>
      </c>
      <c r="N28" s="85">
        <f t="shared" si="0"/>
        <v>45755</v>
      </c>
      <c r="O28" s="85">
        <v>45842</v>
      </c>
      <c r="P28" s="110">
        <v>45905</v>
      </c>
      <c r="Q28" s="86">
        <f>K28-J28</f>
        <v>-12</v>
      </c>
      <c r="R28" s="82">
        <f t="shared" si="3"/>
        <v>63</v>
      </c>
      <c r="S28" s="113">
        <v>1306518.6399999999</v>
      </c>
      <c r="T28" s="29" t="s">
        <v>111</v>
      </c>
    </row>
    <row r="29" spans="1:20" ht="14.1">
      <c r="A29" s="29">
        <v>2022</v>
      </c>
      <c r="B29" s="112">
        <v>4</v>
      </c>
      <c r="C29" s="28" t="s">
        <v>74</v>
      </c>
      <c r="D29" s="29">
        <v>18105486</v>
      </c>
      <c r="E29" s="29" t="s">
        <v>119</v>
      </c>
      <c r="F29" s="34">
        <v>0</v>
      </c>
      <c r="G29" s="108">
        <v>0.1</v>
      </c>
      <c r="H29" s="109">
        <v>69127.97</v>
      </c>
      <c r="I29" s="28" t="s">
        <v>110</v>
      </c>
      <c r="J29" s="110">
        <v>45937</v>
      </c>
      <c r="K29" s="27"/>
      <c r="L29" s="85"/>
      <c r="M29" s="29">
        <v>30</v>
      </c>
      <c r="N29" s="85">
        <f t="shared" si="0"/>
        <v>45967</v>
      </c>
      <c r="O29" s="85"/>
      <c r="P29" s="29"/>
      <c r="Q29" s="86"/>
      <c r="R29" s="82">
        <f t="shared" si="3"/>
        <v>0</v>
      </c>
      <c r="S29" s="113">
        <v>483895.79000000004</v>
      </c>
      <c r="T29" s="82" t="s">
        <v>114</v>
      </c>
    </row>
    <row r="30" spans="1:20" ht="14.1">
      <c r="A30" s="29">
        <v>2024</v>
      </c>
      <c r="B30" s="112">
        <v>1</v>
      </c>
      <c r="C30" s="28" t="s">
        <v>74</v>
      </c>
      <c r="D30" s="29">
        <v>18649372</v>
      </c>
      <c r="E30" s="29" t="s">
        <v>80</v>
      </c>
      <c r="F30" s="34">
        <v>1449000</v>
      </c>
      <c r="G30" s="108">
        <v>0.2</v>
      </c>
      <c r="H30" s="109">
        <v>41400</v>
      </c>
      <c r="I30" s="28" t="s">
        <v>110</v>
      </c>
      <c r="J30" s="110">
        <v>45762</v>
      </c>
      <c r="K30" s="111">
        <v>45722</v>
      </c>
      <c r="L30" s="85">
        <f t="shared" si="1"/>
        <v>45821</v>
      </c>
      <c r="M30" s="29">
        <v>30</v>
      </c>
      <c r="N30" s="85">
        <f t="shared" si="0"/>
        <v>45792</v>
      </c>
      <c r="O30" s="85">
        <v>45851</v>
      </c>
      <c r="P30" s="110">
        <v>45867</v>
      </c>
      <c r="Q30" s="86">
        <f>K30-J30</f>
        <v>-40</v>
      </c>
      <c r="R30" s="82">
        <f t="shared" si="3"/>
        <v>16</v>
      </c>
      <c r="S30" s="113">
        <v>289800</v>
      </c>
      <c r="T30" s="29" t="s">
        <v>111</v>
      </c>
    </row>
    <row r="31" spans="1:20" ht="14.1">
      <c r="A31" s="29">
        <v>2024</v>
      </c>
      <c r="B31" s="112">
        <v>2</v>
      </c>
      <c r="C31" s="28" t="s">
        <v>74</v>
      </c>
      <c r="D31" s="29">
        <v>18649372</v>
      </c>
      <c r="E31" s="29" t="s">
        <v>80</v>
      </c>
      <c r="F31" s="34">
        <v>0</v>
      </c>
      <c r="G31" s="108">
        <v>0.2</v>
      </c>
      <c r="H31" s="109">
        <v>41400</v>
      </c>
      <c r="I31" s="28" t="s">
        <v>110</v>
      </c>
      <c r="J31" s="110">
        <v>45871</v>
      </c>
      <c r="K31" s="111">
        <v>45790</v>
      </c>
      <c r="L31" s="85">
        <f t="shared" si="1"/>
        <v>45889</v>
      </c>
      <c r="M31" s="29">
        <v>30</v>
      </c>
      <c r="N31" s="85">
        <f t="shared" si="0"/>
        <v>45901</v>
      </c>
      <c r="O31" s="85">
        <v>45919</v>
      </c>
      <c r="P31" s="29"/>
      <c r="Q31" s="86">
        <f>K31-J31</f>
        <v>-81</v>
      </c>
      <c r="R31" s="82"/>
      <c r="S31" s="113">
        <v>289800</v>
      </c>
      <c r="T31" s="89" t="s">
        <v>115</v>
      </c>
    </row>
    <row r="32" spans="1:20" ht="14.1">
      <c r="A32" s="29">
        <v>2024</v>
      </c>
      <c r="B32" s="112">
        <v>3</v>
      </c>
      <c r="C32" s="28" t="s">
        <v>74</v>
      </c>
      <c r="D32" s="29">
        <v>18649372</v>
      </c>
      <c r="E32" s="29" t="s">
        <v>80</v>
      </c>
      <c r="F32" s="34">
        <v>0</v>
      </c>
      <c r="G32" s="108">
        <v>0.2</v>
      </c>
      <c r="H32" s="109">
        <v>41400</v>
      </c>
      <c r="I32" s="28" t="s">
        <v>110</v>
      </c>
      <c r="J32" s="110">
        <v>45909</v>
      </c>
      <c r="K32" s="111">
        <v>45824</v>
      </c>
      <c r="L32" s="85">
        <f t="shared" si="1"/>
        <v>45923</v>
      </c>
      <c r="M32" s="29">
        <v>30</v>
      </c>
      <c r="N32" s="85">
        <f t="shared" si="0"/>
        <v>45939</v>
      </c>
      <c r="O32" s="85">
        <v>45953</v>
      </c>
      <c r="P32" s="29"/>
      <c r="Q32" s="86">
        <f>K32-J32</f>
        <v>-85</v>
      </c>
      <c r="R32" s="82"/>
      <c r="S32" s="113">
        <v>289800</v>
      </c>
      <c r="T32" s="89" t="s">
        <v>115</v>
      </c>
    </row>
    <row r="33" spans="1:20" ht="14.1">
      <c r="A33" s="29">
        <v>2024</v>
      </c>
      <c r="B33" s="112">
        <v>4</v>
      </c>
      <c r="C33" s="28" t="s">
        <v>74</v>
      </c>
      <c r="D33" s="29">
        <v>18649372</v>
      </c>
      <c r="E33" s="29" t="s">
        <v>80</v>
      </c>
      <c r="F33" s="34">
        <v>0</v>
      </c>
      <c r="G33" s="108">
        <v>0.35</v>
      </c>
      <c r="H33" s="109">
        <v>72450</v>
      </c>
      <c r="I33" s="28" t="s">
        <v>110</v>
      </c>
      <c r="J33" s="110">
        <v>45951</v>
      </c>
      <c r="K33" s="27"/>
      <c r="L33" s="85"/>
      <c r="M33" s="29">
        <v>30</v>
      </c>
      <c r="N33" s="85">
        <f t="shared" si="0"/>
        <v>45981</v>
      </c>
      <c r="O33" s="85"/>
      <c r="P33" s="29"/>
      <c r="Q33" s="86"/>
      <c r="R33" s="82">
        <f>P33-O33</f>
        <v>0</v>
      </c>
      <c r="S33" s="113">
        <v>507150</v>
      </c>
      <c r="T33" s="82" t="s">
        <v>114</v>
      </c>
    </row>
    <row r="34" spans="1:20" ht="14.1">
      <c r="A34" s="29">
        <v>2024</v>
      </c>
      <c r="B34" s="112">
        <v>5</v>
      </c>
      <c r="C34" s="28" t="s">
        <v>74</v>
      </c>
      <c r="D34" s="29">
        <v>18649372</v>
      </c>
      <c r="E34" s="29" t="s">
        <v>80</v>
      </c>
      <c r="F34" s="34">
        <v>0</v>
      </c>
      <c r="G34" s="108">
        <v>0.05</v>
      </c>
      <c r="H34" s="109">
        <v>10350</v>
      </c>
      <c r="I34" s="28" t="s">
        <v>110</v>
      </c>
      <c r="J34" s="110">
        <v>45998</v>
      </c>
      <c r="K34" s="27"/>
      <c r="L34" s="85"/>
      <c r="M34" s="29">
        <v>30</v>
      </c>
      <c r="N34" s="85">
        <f t="shared" ref="N34:N60" si="4">J34+M34</f>
        <v>46028</v>
      </c>
      <c r="O34" s="85"/>
      <c r="P34" s="29"/>
      <c r="Q34" s="86"/>
      <c r="R34" s="82">
        <f>P34-O34</f>
        <v>0</v>
      </c>
      <c r="S34" s="113">
        <v>72450</v>
      </c>
      <c r="T34" s="82" t="s">
        <v>114</v>
      </c>
    </row>
    <row r="35" spans="1:20" ht="14.1">
      <c r="A35" s="29">
        <v>2019</v>
      </c>
      <c r="B35" s="29">
        <v>5</v>
      </c>
      <c r="C35" s="29" t="s">
        <v>62</v>
      </c>
      <c r="D35" s="29">
        <v>16942702</v>
      </c>
      <c r="E35" s="29" t="s">
        <v>120</v>
      </c>
      <c r="F35" s="114">
        <v>17115700</v>
      </c>
      <c r="G35" s="30">
        <v>0.1</v>
      </c>
      <c r="H35" s="115">
        <v>244510</v>
      </c>
      <c r="I35" s="28" t="s">
        <v>110</v>
      </c>
      <c r="J35" s="111">
        <v>45740</v>
      </c>
      <c r="K35" s="111"/>
      <c r="L35" s="85"/>
      <c r="M35" s="29">
        <v>45</v>
      </c>
      <c r="N35" s="85">
        <f t="shared" si="4"/>
        <v>45785</v>
      </c>
      <c r="O35" s="85"/>
      <c r="P35" s="112"/>
      <c r="Q35" s="86"/>
      <c r="R35" s="82">
        <f>P35-O35</f>
        <v>0</v>
      </c>
      <c r="S35" s="116">
        <v>1711570</v>
      </c>
      <c r="T35" s="82" t="s">
        <v>114</v>
      </c>
    </row>
    <row r="36" spans="1:20" ht="14.1">
      <c r="A36" s="29">
        <v>2020</v>
      </c>
      <c r="B36" s="29">
        <v>4</v>
      </c>
      <c r="C36" s="29" t="s">
        <v>62</v>
      </c>
      <c r="D36" s="29">
        <v>17175578</v>
      </c>
      <c r="E36" s="29" t="s">
        <v>121</v>
      </c>
      <c r="F36" s="114">
        <v>9857022</v>
      </c>
      <c r="G36" s="30">
        <v>0.1</v>
      </c>
      <c r="H36" s="115">
        <v>175301.6</v>
      </c>
      <c r="I36" s="28" t="s">
        <v>110</v>
      </c>
      <c r="J36" s="111">
        <v>45328</v>
      </c>
      <c r="K36" s="111">
        <v>45574</v>
      </c>
      <c r="L36" s="85">
        <f t="shared" si="1"/>
        <v>45673</v>
      </c>
      <c r="M36" s="29">
        <v>45</v>
      </c>
      <c r="N36" s="85">
        <f t="shared" si="4"/>
        <v>45373</v>
      </c>
      <c r="O36" s="85">
        <v>45718</v>
      </c>
      <c r="P36" s="112"/>
      <c r="Q36" s="86">
        <f>K36-J36</f>
        <v>246</v>
      </c>
      <c r="R36" s="82"/>
      <c r="S36" s="116">
        <v>1227111.2</v>
      </c>
      <c r="T36" s="89" t="s">
        <v>115</v>
      </c>
    </row>
    <row r="37" spans="1:20" ht="14.1">
      <c r="A37" s="29">
        <v>2021</v>
      </c>
      <c r="B37" s="29">
        <v>7</v>
      </c>
      <c r="C37" s="29" t="s">
        <v>62</v>
      </c>
      <c r="D37" s="29">
        <v>17662855</v>
      </c>
      <c r="E37" s="29" t="s">
        <v>122</v>
      </c>
      <c r="F37" s="114">
        <v>620053</v>
      </c>
      <c r="G37" s="30">
        <v>0.1</v>
      </c>
      <c r="H37" s="115">
        <v>15257.9</v>
      </c>
      <c r="I37" s="28" t="s">
        <v>110</v>
      </c>
      <c r="J37" s="111">
        <v>45414</v>
      </c>
      <c r="K37" s="111">
        <v>45315</v>
      </c>
      <c r="L37" s="85">
        <f t="shared" si="1"/>
        <v>45414</v>
      </c>
      <c r="M37" s="29">
        <v>30</v>
      </c>
      <c r="N37" s="85">
        <f t="shared" si="4"/>
        <v>45444</v>
      </c>
      <c r="O37" s="85">
        <v>45444</v>
      </c>
      <c r="P37" s="137">
        <v>45841</v>
      </c>
      <c r="Q37" s="86">
        <f>K37-J37</f>
        <v>-99</v>
      </c>
      <c r="R37" s="82">
        <f>P37-O37</f>
        <v>397</v>
      </c>
      <c r="S37" s="115">
        <v>106805.3</v>
      </c>
      <c r="T37" s="112" t="s">
        <v>111</v>
      </c>
    </row>
    <row r="38" spans="1:20" ht="14.1">
      <c r="A38" s="29">
        <v>2021</v>
      </c>
      <c r="B38" s="29">
        <v>3.2</v>
      </c>
      <c r="C38" s="29" t="s">
        <v>62</v>
      </c>
      <c r="D38" s="29">
        <v>17805319</v>
      </c>
      <c r="E38" s="29" t="s">
        <v>123</v>
      </c>
      <c r="F38" s="114">
        <v>11306359.68</v>
      </c>
      <c r="G38" s="30">
        <v>0.2</v>
      </c>
      <c r="H38" s="115">
        <v>323038.84999999998</v>
      </c>
      <c r="I38" s="28" t="s">
        <v>110</v>
      </c>
      <c r="J38" s="111">
        <v>45725</v>
      </c>
      <c r="K38" s="111">
        <v>45625</v>
      </c>
      <c r="L38" s="85">
        <f t="shared" si="1"/>
        <v>45724</v>
      </c>
      <c r="M38" s="29">
        <v>45</v>
      </c>
      <c r="N38" s="85">
        <f t="shared" si="4"/>
        <v>45770</v>
      </c>
      <c r="O38" s="85">
        <v>45769</v>
      </c>
      <c r="P38" s="137">
        <v>45814</v>
      </c>
      <c r="Q38" s="86">
        <f>K38-J38</f>
        <v>-100</v>
      </c>
      <c r="R38" s="82">
        <f>P38-O38</f>
        <v>45</v>
      </c>
      <c r="S38" s="115">
        <v>2261271.9499999997</v>
      </c>
      <c r="T38" s="112" t="s">
        <v>111</v>
      </c>
    </row>
    <row r="39" spans="1:20" ht="14.1">
      <c r="A39" s="29">
        <v>2021</v>
      </c>
      <c r="B39" s="29">
        <v>4</v>
      </c>
      <c r="C39" s="29" t="s">
        <v>62</v>
      </c>
      <c r="D39" s="29">
        <v>17805319</v>
      </c>
      <c r="E39" s="29" t="s">
        <v>123</v>
      </c>
      <c r="F39" s="34">
        <v>0</v>
      </c>
      <c r="G39" s="30">
        <v>0.1</v>
      </c>
      <c r="H39" s="115">
        <v>161519.42000000001</v>
      </c>
      <c r="I39" s="28" t="s">
        <v>110</v>
      </c>
      <c r="J39" s="111">
        <v>45876</v>
      </c>
      <c r="K39" s="111"/>
      <c r="L39" s="85"/>
      <c r="M39" s="29">
        <v>45</v>
      </c>
      <c r="N39" s="85">
        <f t="shared" si="4"/>
        <v>45921</v>
      </c>
      <c r="O39" s="85"/>
      <c r="P39" s="112"/>
      <c r="Q39" s="86"/>
      <c r="R39" s="82">
        <f>P39-O39</f>
        <v>0</v>
      </c>
      <c r="S39" s="115">
        <v>1130635.9400000002</v>
      </c>
      <c r="T39" s="82" t="s">
        <v>114</v>
      </c>
    </row>
    <row r="40" spans="1:20" ht="14.1">
      <c r="A40" s="29">
        <v>2022</v>
      </c>
      <c r="B40" s="29">
        <v>2</v>
      </c>
      <c r="C40" s="29" t="s">
        <v>62</v>
      </c>
      <c r="D40" s="29">
        <v>17939411</v>
      </c>
      <c r="E40" s="29" t="s">
        <v>124</v>
      </c>
      <c r="F40" s="114">
        <v>26241999</v>
      </c>
      <c r="G40" s="30">
        <v>0.1</v>
      </c>
      <c r="H40" s="115">
        <v>424498.3</v>
      </c>
      <c r="I40" s="28" t="s">
        <v>110</v>
      </c>
      <c r="J40" s="111">
        <v>45650</v>
      </c>
      <c r="K40" s="111">
        <v>45593</v>
      </c>
      <c r="L40" s="85">
        <f t="shared" si="1"/>
        <v>45692</v>
      </c>
      <c r="M40" s="29">
        <v>45</v>
      </c>
      <c r="N40" s="85">
        <f t="shared" si="4"/>
        <v>45695</v>
      </c>
      <c r="O40" s="85">
        <v>45737</v>
      </c>
      <c r="P40" s="137">
        <v>45885</v>
      </c>
      <c r="Q40" s="86">
        <f>K40-J40</f>
        <v>-57</v>
      </c>
      <c r="R40" s="82">
        <f>P40-O40</f>
        <v>148</v>
      </c>
      <c r="S40" s="115">
        <v>2971488.1</v>
      </c>
      <c r="T40" s="112" t="s">
        <v>111</v>
      </c>
    </row>
    <row r="41" spans="1:20" ht="14.1">
      <c r="A41" s="29">
        <v>2022</v>
      </c>
      <c r="B41" s="29">
        <v>3</v>
      </c>
      <c r="C41" s="29" t="s">
        <v>62</v>
      </c>
      <c r="D41" s="29">
        <v>17939411</v>
      </c>
      <c r="E41" s="29" t="s">
        <v>124</v>
      </c>
      <c r="F41" s="34">
        <v>0</v>
      </c>
      <c r="G41" s="30">
        <v>0.25</v>
      </c>
      <c r="H41" s="115">
        <v>942214.25</v>
      </c>
      <c r="I41" s="28" t="s">
        <v>110</v>
      </c>
      <c r="J41" s="111">
        <v>45876</v>
      </c>
      <c r="K41" s="111">
        <v>45824</v>
      </c>
      <c r="L41" s="85">
        <f t="shared" si="1"/>
        <v>45923</v>
      </c>
      <c r="M41" s="29">
        <v>45</v>
      </c>
      <c r="N41" s="85">
        <f t="shared" si="4"/>
        <v>45921</v>
      </c>
      <c r="O41" s="85">
        <v>45968</v>
      </c>
      <c r="P41" s="112"/>
      <c r="Q41" s="86">
        <f>K41-J41</f>
        <v>-52</v>
      </c>
      <c r="R41" s="82"/>
      <c r="S41" s="115">
        <v>6595499.75</v>
      </c>
      <c r="T41" s="89" t="s">
        <v>115</v>
      </c>
    </row>
    <row r="42" spans="1:20" ht="14.1">
      <c r="A42" s="29">
        <v>2022</v>
      </c>
      <c r="B42" s="29">
        <v>4</v>
      </c>
      <c r="C42" s="29" t="s">
        <v>62</v>
      </c>
      <c r="D42" s="29">
        <v>17939411</v>
      </c>
      <c r="E42" s="29" t="s">
        <v>124</v>
      </c>
      <c r="F42" s="34">
        <v>0</v>
      </c>
      <c r="G42" s="30">
        <v>0.55000000000000004</v>
      </c>
      <c r="H42" s="115">
        <v>2068746.35</v>
      </c>
      <c r="I42" s="28" t="s">
        <v>110</v>
      </c>
      <c r="J42" s="111">
        <v>46074</v>
      </c>
      <c r="K42" s="27"/>
      <c r="L42" s="85"/>
      <c r="M42" s="29">
        <v>45</v>
      </c>
      <c r="N42" s="85">
        <f t="shared" si="4"/>
        <v>46119</v>
      </c>
      <c r="O42" s="85"/>
      <c r="P42" s="112"/>
      <c r="Q42" s="86"/>
      <c r="R42" s="82">
        <f t="shared" ref="R42:R47" si="5">P42-O42</f>
        <v>0</v>
      </c>
      <c r="S42" s="115">
        <v>14481224.450000001</v>
      </c>
      <c r="T42" s="82" t="s">
        <v>114</v>
      </c>
    </row>
    <row r="43" spans="1:20" ht="14.1">
      <c r="A43" s="29">
        <v>2022</v>
      </c>
      <c r="B43" s="29">
        <v>5</v>
      </c>
      <c r="C43" s="29" t="s">
        <v>62</v>
      </c>
      <c r="D43" s="29">
        <v>17939411</v>
      </c>
      <c r="E43" s="29" t="s">
        <v>124</v>
      </c>
      <c r="F43" s="34">
        <v>0</v>
      </c>
      <c r="G43" s="30">
        <v>0.05</v>
      </c>
      <c r="H43" s="115">
        <v>188067.85</v>
      </c>
      <c r="I43" s="28" t="s">
        <v>110</v>
      </c>
      <c r="J43" s="111">
        <v>46120</v>
      </c>
      <c r="K43" s="111"/>
      <c r="L43" s="85"/>
      <c r="M43" s="29">
        <v>45</v>
      </c>
      <c r="N43" s="85">
        <f t="shared" si="4"/>
        <v>46165</v>
      </c>
      <c r="O43" s="85"/>
      <c r="P43" s="112"/>
      <c r="Q43" s="86"/>
      <c r="R43" s="82">
        <f t="shared" si="5"/>
        <v>0</v>
      </c>
      <c r="S43" s="115">
        <v>1316474.95</v>
      </c>
      <c r="T43" s="82" t="s">
        <v>114</v>
      </c>
    </row>
    <row r="44" spans="1:20" ht="14.1">
      <c r="A44" s="29">
        <v>2023</v>
      </c>
      <c r="B44" s="29">
        <v>2</v>
      </c>
      <c r="C44" s="29" t="s">
        <v>62</v>
      </c>
      <c r="D44" s="29">
        <v>18188317</v>
      </c>
      <c r="E44" s="29" t="s">
        <v>125</v>
      </c>
      <c r="F44" s="114">
        <v>19334000</v>
      </c>
      <c r="G44" s="30">
        <v>0.15</v>
      </c>
      <c r="H44" s="115">
        <v>414300</v>
      </c>
      <c r="I44" s="28" t="s">
        <v>110</v>
      </c>
      <c r="J44" s="111">
        <v>45511</v>
      </c>
      <c r="K44" s="111">
        <v>45777</v>
      </c>
      <c r="L44" s="85">
        <f t="shared" si="1"/>
        <v>45876</v>
      </c>
      <c r="M44" s="29">
        <v>30</v>
      </c>
      <c r="N44" s="85">
        <f t="shared" si="4"/>
        <v>45541</v>
      </c>
      <c r="O44" s="85">
        <v>45906</v>
      </c>
      <c r="P44" s="137">
        <v>45899</v>
      </c>
      <c r="Q44" s="86">
        <f>K44-J44</f>
        <v>266</v>
      </c>
      <c r="R44" s="82">
        <f t="shared" si="5"/>
        <v>-7</v>
      </c>
      <c r="S44" s="115">
        <v>2900100</v>
      </c>
      <c r="T44" s="112" t="s">
        <v>111</v>
      </c>
    </row>
    <row r="45" spans="1:20" ht="14.1">
      <c r="A45" s="29">
        <v>2023</v>
      </c>
      <c r="B45" s="29">
        <v>3</v>
      </c>
      <c r="C45" s="29" t="s">
        <v>62</v>
      </c>
      <c r="D45" s="29">
        <v>18188317</v>
      </c>
      <c r="E45" s="29" t="s">
        <v>125</v>
      </c>
      <c r="F45" s="34">
        <v>0</v>
      </c>
      <c r="G45" s="30">
        <v>0.2</v>
      </c>
      <c r="H45" s="115">
        <v>552400</v>
      </c>
      <c r="I45" s="28" t="s">
        <v>110</v>
      </c>
      <c r="J45" s="111">
        <v>45922</v>
      </c>
      <c r="K45" s="27"/>
      <c r="L45" s="85"/>
      <c r="M45" s="29">
        <v>30</v>
      </c>
      <c r="N45" s="85">
        <f t="shared" si="4"/>
        <v>45952</v>
      </c>
      <c r="O45" s="85"/>
      <c r="P45" s="112"/>
      <c r="Q45" s="86"/>
      <c r="R45" s="82">
        <f t="shared" si="5"/>
        <v>0</v>
      </c>
      <c r="S45" s="115">
        <v>3866800</v>
      </c>
      <c r="T45" s="89" t="s">
        <v>115</v>
      </c>
    </row>
    <row r="46" spans="1:20" ht="14.1">
      <c r="A46" s="29">
        <v>2023</v>
      </c>
      <c r="B46" s="29">
        <v>4</v>
      </c>
      <c r="C46" s="29" t="s">
        <v>62</v>
      </c>
      <c r="D46" s="29">
        <v>18188317</v>
      </c>
      <c r="E46" s="29" t="s">
        <v>125</v>
      </c>
      <c r="F46" s="34">
        <v>0</v>
      </c>
      <c r="G46" s="30">
        <v>0.5</v>
      </c>
      <c r="H46" s="115">
        <v>1381000</v>
      </c>
      <c r="I46" s="28" t="s">
        <v>110</v>
      </c>
      <c r="J46" s="111">
        <v>46010</v>
      </c>
      <c r="K46" s="27"/>
      <c r="L46" s="85"/>
      <c r="M46" s="29">
        <v>30</v>
      </c>
      <c r="N46" s="85">
        <f t="shared" si="4"/>
        <v>46040</v>
      </c>
      <c r="O46" s="85"/>
      <c r="P46" s="112"/>
      <c r="Q46" s="86"/>
      <c r="R46" s="82">
        <f t="shared" si="5"/>
        <v>0</v>
      </c>
      <c r="S46" s="115">
        <v>9667000</v>
      </c>
      <c r="T46" s="82" t="s">
        <v>114</v>
      </c>
    </row>
    <row r="47" spans="1:20" ht="14.1">
      <c r="A47" s="29">
        <v>2023</v>
      </c>
      <c r="B47" s="29">
        <v>5</v>
      </c>
      <c r="C47" s="29" t="s">
        <v>62</v>
      </c>
      <c r="D47" s="29">
        <v>18188317</v>
      </c>
      <c r="E47" s="29" t="s">
        <v>125</v>
      </c>
      <c r="F47" s="34">
        <v>0</v>
      </c>
      <c r="G47" s="30">
        <v>0.05</v>
      </c>
      <c r="H47" s="115">
        <v>138100</v>
      </c>
      <c r="I47" s="28" t="s">
        <v>110</v>
      </c>
      <c r="J47" s="111">
        <v>46054</v>
      </c>
      <c r="K47" s="111"/>
      <c r="L47" s="85"/>
      <c r="M47" s="29">
        <v>30</v>
      </c>
      <c r="N47" s="85">
        <f t="shared" si="4"/>
        <v>46084</v>
      </c>
      <c r="O47" s="85"/>
      <c r="P47" s="112"/>
      <c r="Q47" s="86"/>
      <c r="R47" s="82">
        <f t="shared" si="5"/>
        <v>0</v>
      </c>
      <c r="S47" s="115">
        <v>966700</v>
      </c>
      <c r="T47" s="82" t="s">
        <v>114</v>
      </c>
    </row>
    <row r="48" spans="1:20" ht="14.1">
      <c r="A48" s="29">
        <v>2023</v>
      </c>
      <c r="B48" s="29">
        <v>4</v>
      </c>
      <c r="C48" s="29" t="s">
        <v>62</v>
      </c>
      <c r="D48" s="29">
        <v>18239263</v>
      </c>
      <c r="E48" s="29" t="s">
        <v>126</v>
      </c>
      <c r="F48" s="114">
        <v>41814108</v>
      </c>
      <c r="G48" s="30">
        <v>0.05</v>
      </c>
      <c r="H48" s="115">
        <v>298672.2</v>
      </c>
      <c r="I48" s="28" t="s">
        <v>110</v>
      </c>
      <c r="J48" s="111">
        <v>45876</v>
      </c>
      <c r="K48" s="111">
        <v>45824</v>
      </c>
      <c r="L48" s="85">
        <f t="shared" si="1"/>
        <v>45923</v>
      </c>
      <c r="M48" s="29">
        <v>45</v>
      </c>
      <c r="N48" s="85">
        <f t="shared" si="4"/>
        <v>45921</v>
      </c>
      <c r="O48" s="85">
        <v>45968</v>
      </c>
      <c r="P48" s="112"/>
      <c r="Q48" s="86">
        <f>K48-J48</f>
        <v>-52</v>
      </c>
      <c r="R48" s="82"/>
      <c r="S48" s="115">
        <v>2090705.4000000001</v>
      </c>
      <c r="T48" s="89" t="s">
        <v>115</v>
      </c>
    </row>
    <row r="49" spans="1:20" ht="14.1">
      <c r="A49" s="29">
        <v>2023</v>
      </c>
      <c r="B49" s="29">
        <v>5.3</v>
      </c>
      <c r="C49" s="29" t="s">
        <v>62</v>
      </c>
      <c r="D49" s="29">
        <v>18239263</v>
      </c>
      <c r="E49" s="29" t="s">
        <v>126</v>
      </c>
      <c r="F49" s="34">
        <v>0</v>
      </c>
      <c r="G49" s="117">
        <v>2.8000000000000001E-2</v>
      </c>
      <c r="H49" s="115">
        <v>166667</v>
      </c>
      <c r="I49" s="28" t="s">
        <v>110</v>
      </c>
      <c r="J49" s="111">
        <v>45851</v>
      </c>
      <c r="K49" s="111">
        <v>45749</v>
      </c>
      <c r="L49" s="85">
        <f t="shared" si="1"/>
        <v>45848</v>
      </c>
      <c r="M49" s="29">
        <v>45</v>
      </c>
      <c r="N49" s="85">
        <f t="shared" si="4"/>
        <v>45896</v>
      </c>
      <c r="O49" s="85">
        <v>45893</v>
      </c>
      <c r="P49" s="137">
        <v>45892</v>
      </c>
      <c r="Q49" s="86"/>
      <c r="R49" s="82">
        <f>P49-O49</f>
        <v>-1</v>
      </c>
      <c r="S49" s="115">
        <v>1166669</v>
      </c>
      <c r="T49" s="112" t="s">
        <v>111</v>
      </c>
    </row>
    <row r="50" spans="1:20" ht="14.1">
      <c r="A50" s="29">
        <v>2023</v>
      </c>
      <c r="B50" s="29">
        <v>5.4</v>
      </c>
      <c r="C50" s="29" t="s">
        <v>62</v>
      </c>
      <c r="D50" s="29">
        <v>18239263</v>
      </c>
      <c r="E50" s="29" t="s">
        <v>126</v>
      </c>
      <c r="F50" s="34">
        <v>0</v>
      </c>
      <c r="G50" s="117">
        <v>4.8000000000000001E-2</v>
      </c>
      <c r="H50" s="115">
        <v>284405.7</v>
      </c>
      <c r="I50" s="28" t="s">
        <v>110</v>
      </c>
      <c r="J50" s="111">
        <v>45761</v>
      </c>
      <c r="K50" s="111">
        <v>45680</v>
      </c>
      <c r="L50" s="85">
        <f t="shared" si="1"/>
        <v>45779</v>
      </c>
      <c r="M50" s="29">
        <v>45</v>
      </c>
      <c r="N50" s="85">
        <f t="shared" si="4"/>
        <v>45806</v>
      </c>
      <c r="O50" s="85">
        <v>45824</v>
      </c>
      <c r="P50" s="137">
        <v>45827</v>
      </c>
      <c r="Q50" s="86">
        <f>K50-J50</f>
        <v>-81</v>
      </c>
      <c r="R50" s="82">
        <f>P50-O50</f>
        <v>3</v>
      </c>
      <c r="S50" s="115">
        <v>1990839.9000000001</v>
      </c>
      <c r="T50" s="112" t="s">
        <v>111</v>
      </c>
    </row>
    <row r="51" spans="1:20" ht="14.1">
      <c r="A51" s="29">
        <v>2023</v>
      </c>
      <c r="B51" s="29">
        <v>5.5</v>
      </c>
      <c r="C51" s="29" t="s">
        <v>62</v>
      </c>
      <c r="D51" s="29">
        <v>18239263</v>
      </c>
      <c r="E51" s="29" t="s">
        <v>126</v>
      </c>
      <c r="F51" s="34">
        <v>0</v>
      </c>
      <c r="G51" s="117">
        <v>4.8000000000000001E-2</v>
      </c>
      <c r="H51" s="115">
        <v>284405.7</v>
      </c>
      <c r="I51" s="28" t="s">
        <v>110</v>
      </c>
      <c r="J51" s="111">
        <v>45761</v>
      </c>
      <c r="K51" s="111">
        <v>45680</v>
      </c>
      <c r="L51" s="85">
        <f t="shared" si="1"/>
        <v>45779</v>
      </c>
      <c r="M51" s="29">
        <v>45</v>
      </c>
      <c r="N51" s="85">
        <f t="shared" si="4"/>
        <v>45806</v>
      </c>
      <c r="O51" s="85">
        <v>45824</v>
      </c>
      <c r="P51" s="137">
        <v>45827</v>
      </c>
      <c r="Q51" s="86">
        <f>K51-J51</f>
        <v>-81</v>
      </c>
      <c r="R51" s="82">
        <f>P51-O51</f>
        <v>3</v>
      </c>
      <c r="S51" s="115">
        <v>1990839.9000000001</v>
      </c>
      <c r="T51" s="112" t="s">
        <v>111</v>
      </c>
    </row>
    <row r="52" spans="1:20" ht="14.1">
      <c r="A52" s="29">
        <v>2023</v>
      </c>
      <c r="B52" s="29">
        <v>5.6</v>
      </c>
      <c r="C52" s="29" t="s">
        <v>62</v>
      </c>
      <c r="D52" s="29">
        <v>18239263</v>
      </c>
      <c r="E52" s="29" t="s">
        <v>126</v>
      </c>
      <c r="F52" s="34">
        <v>0</v>
      </c>
      <c r="G52" s="117">
        <v>4.8000000000000001E-2</v>
      </c>
      <c r="H52" s="115">
        <v>284405.7</v>
      </c>
      <c r="I52" s="28" t="s">
        <v>110</v>
      </c>
      <c r="J52" s="111">
        <v>45761</v>
      </c>
      <c r="K52" s="111">
        <v>45680</v>
      </c>
      <c r="L52" s="85">
        <f t="shared" si="1"/>
        <v>45779</v>
      </c>
      <c r="M52" s="29">
        <v>45</v>
      </c>
      <c r="N52" s="85">
        <f t="shared" si="4"/>
        <v>45806</v>
      </c>
      <c r="O52" s="85">
        <v>45824</v>
      </c>
      <c r="P52" s="137">
        <v>45827</v>
      </c>
      <c r="Q52" s="86">
        <f>K52-J52</f>
        <v>-81</v>
      </c>
      <c r="R52" s="82">
        <f>P52-O52</f>
        <v>3</v>
      </c>
      <c r="S52" s="115">
        <v>1990839.9000000001</v>
      </c>
      <c r="T52" s="112" t="s">
        <v>111</v>
      </c>
    </row>
    <row r="53" spans="1:20" ht="14.1">
      <c r="A53" s="29">
        <v>2023</v>
      </c>
      <c r="B53" s="29">
        <v>5.7</v>
      </c>
      <c r="C53" s="29" t="s">
        <v>62</v>
      </c>
      <c r="D53" s="29">
        <v>18239263</v>
      </c>
      <c r="E53" s="29" t="s">
        <v>126</v>
      </c>
      <c r="F53" s="34">
        <v>0</v>
      </c>
      <c r="G53" s="117">
        <v>4.8000000000000001E-2</v>
      </c>
      <c r="H53" s="115">
        <v>284405.7</v>
      </c>
      <c r="I53" s="28" t="s">
        <v>110</v>
      </c>
      <c r="J53" s="111">
        <v>45761</v>
      </c>
      <c r="K53" s="111">
        <v>45680</v>
      </c>
      <c r="L53" s="85">
        <f t="shared" si="1"/>
        <v>45779</v>
      </c>
      <c r="M53" s="29">
        <v>45</v>
      </c>
      <c r="N53" s="85">
        <f t="shared" si="4"/>
        <v>45806</v>
      </c>
      <c r="O53" s="85">
        <v>45824</v>
      </c>
      <c r="P53" s="137">
        <v>45827</v>
      </c>
      <c r="Q53" s="86">
        <f>K53-J53</f>
        <v>-81</v>
      </c>
      <c r="R53" s="82">
        <f>P53-O53</f>
        <v>3</v>
      </c>
      <c r="S53" s="115">
        <v>1990839.9000000001</v>
      </c>
      <c r="T53" s="112" t="s">
        <v>111</v>
      </c>
    </row>
    <row r="54" spans="1:20" ht="14.1">
      <c r="A54" s="29">
        <v>2023</v>
      </c>
      <c r="B54" s="29">
        <v>5.8</v>
      </c>
      <c r="C54" s="29" t="s">
        <v>62</v>
      </c>
      <c r="D54" s="29">
        <v>18239263</v>
      </c>
      <c r="E54" s="29" t="s">
        <v>126</v>
      </c>
      <c r="F54" s="34">
        <v>0</v>
      </c>
      <c r="G54" s="117">
        <v>5.2999999999999999E-2</v>
      </c>
      <c r="H54" s="115">
        <v>318391.3</v>
      </c>
      <c r="I54" s="28" t="s">
        <v>110</v>
      </c>
      <c r="J54" s="111">
        <v>45900</v>
      </c>
      <c r="K54" s="111">
        <v>45804</v>
      </c>
      <c r="L54" s="85">
        <f t="shared" si="1"/>
        <v>45903</v>
      </c>
      <c r="M54" s="29">
        <v>45</v>
      </c>
      <c r="N54" s="85">
        <f t="shared" si="4"/>
        <v>45945</v>
      </c>
      <c r="O54" s="85">
        <v>45948</v>
      </c>
      <c r="P54" s="112"/>
      <c r="Q54" s="86">
        <f>K54-J54</f>
        <v>-96</v>
      </c>
      <c r="R54" s="82"/>
      <c r="S54" s="115">
        <v>2228739.1</v>
      </c>
      <c r="T54" s="89" t="s">
        <v>115</v>
      </c>
    </row>
    <row r="55" spans="1:20" ht="14.1">
      <c r="A55" s="29">
        <v>2023</v>
      </c>
      <c r="B55" s="29">
        <v>6</v>
      </c>
      <c r="C55" s="29" t="s">
        <v>62</v>
      </c>
      <c r="D55" s="29">
        <v>18239263</v>
      </c>
      <c r="E55" s="29" t="s">
        <v>126</v>
      </c>
      <c r="F55" s="34">
        <v>0</v>
      </c>
      <c r="G55" s="30">
        <v>0.1</v>
      </c>
      <c r="H55" s="115">
        <v>597344.4</v>
      </c>
      <c r="I55" s="28" t="s">
        <v>110</v>
      </c>
      <c r="J55" s="111">
        <v>45932</v>
      </c>
      <c r="K55" s="111"/>
      <c r="L55" s="85"/>
      <c r="M55" s="29">
        <v>45</v>
      </c>
      <c r="N55" s="85">
        <f t="shared" si="4"/>
        <v>45977</v>
      </c>
      <c r="O55" s="85"/>
      <c r="P55" s="112"/>
      <c r="Q55" s="86"/>
      <c r="R55" s="82">
        <f>P55-O55</f>
        <v>0</v>
      </c>
      <c r="S55" s="115">
        <v>4181410.8000000003</v>
      </c>
      <c r="T55" s="82" t="s">
        <v>114</v>
      </c>
    </row>
    <row r="56" spans="1:20" ht="14.1">
      <c r="A56" s="29">
        <v>2023</v>
      </c>
      <c r="B56" s="29">
        <v>1</v>
      </c>
      <c r="C56" s="29" t="s">
        <v>62</v>
      </c>
      <c r="D56" s="29">
        <v>18254957</v>
      </c>
      <c r="E56" s="29" t="s">
        <v>123</v>
      </c>
      <c r="F56" s="114">
        <v>6374690</v>
      </c>
      <c r="G56" s="30">
        <v>0.1</v>
      </c>
      <c r="H56" s="115">
        <v>91067</v>
      </c>
      <c r="I56" s="28" t="s">
        <v>110</v>
      </c>
      <c r="J56" s="111">
        <v>45649</v>
      </c>
      <c r="K56" s="111">
        <v>45664</v>
      </c>
      <c r="L56" s="85">
        <f t="shared" si="1"/>
        <v>45763</v>
      </c>
      <c r="M56" s="29">
        <v>45</v>
      </c>
      <c r="N56" s="85">
        <f t="shared" si="4"/>
        <v>45694</v>
      </c>
      <c r="O56" s="85">
        <v>45808</v>
      </c>
      <c r="P56" s="137">
        <v>45778</v>
      </c>
      <c r="Q56" s="86">
        <f>K56-J56</f>
        <v>15</v>
      </c>
      <c r="R56" s="82">
        <f>P56-O56</f>
        <v>-30</v>
      </c>
      <c r="S56" s="115">
        <v>637469</v>
      </c>
      <c r="T56" s="112" t="s">
        <v>111</v>
      </c>
    </row>
    <row r="57" spans="1:20" ht="14.1">
      <c r="A57" s="29">
        <v>2023</v>
      </c>
      <c r="B57" s="29">
        <v>2</v>
      </c>
      <c r="C57" s="29" t="s">
        <v>62</v>
      </c>
      <c r="D57" s="29">
        <v>18254957</v>
      </c>
      <c r="E57" s="29" t="s">
        <v>123</v>
      </c>
      <c r="F57" s="34">
        <v>0</v>
      </c>
      <c r="G57" s="30">
        <v>0.2</v>
      </c>
      <c r="H57" s="115">
        <v>182134</v>
      </c>
      <c r="I57" s="28" t="s">
        <v>110</v>
      </c>
      <c r="J57" s="111">
        <v>45655</v>
      </c>
      <c r="K57" s="111">
        <v>45674</v>
      </c>
      <c r="L57" s="85">
        <f t="shared" si="1"/>
        <v>45773</v>
      </c>
      <c r="M57" s="29">
        <v>45</v>
      </c>
      <c r="N57" s="85">
        <f t="shared" si="4"/>
        <v>45700</v>
      </c>
      <c r="O57" s="85">
        <v>45818</v>
      </c>
      <c r="P57" s="137">
        <v>45812</v>
      </c>
      <c r="Q57" s="86">
        <f>K57-J57</f>
        <v>19</v>
      </c>
      <c r="R57" s="82">
        <f>P57-O57</f>
        <v>-6</v>
      </c>
      <c r="S57" s="115">
        <v>1274938</v>
      </c>
      <c r="T57" s="112" t="s">
        <v>111</v>
      </c>
    </row>
    <row r="58" spans="1:20" ht="14.1">
      <c r="A58" s="45">
        <v>2023</v>
      </c>
      <c r="B58" s="45">
        <v>3</v>
      </c>
      <c r="C58" s="45" t="s">
        <v>62</v>
      </c>
      <c r="D58" s="45">
        <v>18254957</v>
      </c>
      <c r="E58" s="45" t="s">
        <v>123</v>
      </c>
      <c r="F58" s="34">
        <v>0</v>
      </c>
      <c r="G58" s="30">
        <v>0.6</v>
      </c>
      <c r="H58" s="115">
        <v>546402</v>
      </c>
      <c r="I58" s="28" t="s">
        <v>110</v>
      </c>
      <c r="J58" s="111">
        <v>45927</v>
      </c>
      <c r="K58" s="27"/>
      <c r="L58" s="85"/>
      <c r="M58" s="29">
        <v>45</v>
      </c>
      <c r="N58" s="85">
        <f t="shared" si="4"/>
        <v>45972</v>
      </c>
      <c r="O58" s="85"/>
      <c r="P58" s="112"/>
      <c r="Q58" s="86"/>
      <c r="R58" s="82">
        <f>P58-O58</f>
        <v>0</v>
      </c>
      <c r="S58" s="115">
        <v>3824814</v>
      </c>
      <c r="T58" s="82" t="s">
        <v>114</v>
      </c>
    </row>
    <row r="59" spans="1:20" ht="14.1">
      <c r="A59" s="29">
        <v>2023</v>
      </c>
      <c r="B59" s="29">
        <v>4</v>
      </c>
      <c r="C59" s="29" t="s">
        <v>62</v>
      </c>
      <c r="D59" s="29">
        <v>18254957</v>
      </c>
      <c r="E59" s="29" t="s">
        <v>123</v>
      </c>
      <c r="F59" s="119">
        <v>0</v>
      </c>
      <c r="G59" s="46">
        <v>0.1</v>
      </c>
      <c r="H59" s="120">
        <v>91067</v>
      </c>
      <c r="I59" s="47" t="s">
        <v>110</v>
      </c>
      <c r="J59" s="121">
        <v>45949</v>
      </c>
      <c r="K59" s="122"/>
      <c r="L59" s="85"/>
      <c r="M59" s="45">
        <v>45</v>
      </c>
      <c r="N59" s="123">
        <f t="shared" si="4"/>
        <v>45994</v>
      </c>
      <c r="O59" s="123"/>
      <c r="P59" s="138"/>
      <c r="Q59" s="124"/>
      <c r="R59" s="125">
        <f>P59-O59</f>
        <v>0</v>
      </c>
      <c r="S59" s="120">
        <v>637469</v>
      </c>
      <c r="T59" s="125" t="s">
        <v>114</v>
      </c>
    </row>
    <row r="60" spans="1:20" ht="14.1">
      <c r="A60" s="29">
        <v>2025</v>
      </c>
      <c r="B60" s="29">
        <v>1</v>
      </c>
      <c r="C60" s="29" t="s">
        <v>31</v>
      </c>
      <c r="D60" s="29">
        <v>18768883</v>
      </c>
      <c r="E60" s="29" t="s">
        <v>89</v>
      </c>
      <c r="F60" s="114">
        <v>3291862</v>
      </c>
      <c r="G60" s="108">
        <v>0.15</v>
      </c>
      <c r="H60" s="109">
        <f>G60*F60</f>
        <v>493779.3</v>
      </c>
      <c r="I60" s="28" t="s">
        <v>110</v>
      </c>
      <c r="J60" s="111">
        <v>45968</v>
      </c>
      <c r="K60" s="101">
        <v>45863</v>
      </c>
      <c r="L60" s="85">
        <f t="shared" si="1"/>
        <v>45962</v>
      </c>
      <c r="M60" s="29">
        <v>30</v>
      </c>
      <c r="N60" s="123">
        <f t="shared" si="4"/>
        <v>45998</v>
      </c>
      <c r="O60" s="123">
        <v>45992</v>
      </c>
      <c r="P60" s="29"/>
      <c r="Q60" s="27"/>
      <c r="R60" s="127"/>
      <c r="S60" s="120">
        <v>493779.29999999993</v>
      </c>
      <c r="T60" s="89" t="s">
        <v>115</v>
      </c>
    </row>
    <row r="61" spans="1:20" ht="14.1">
      <c r="A61" s="45">
        <v>2025</v>
      </c>
      <c r="B61" s="45">
        <v>2</v>
      </c>
      <c r="C61" s="45" t="s">
        <v>31</v>
      </c>
      <c r="D61" s="45">
        <v>18768883</v>
      </c>
      <c r="E61" s="45" t="s">
        <v>89</v>
      </c>
      <c r="F61" s="119">
        <v>0</v>
      </c>
      <c r="G61" s="128">
        <v>0.35</v>
      </c>
      <c r="H61" s="129">
        <f>G61*F60</f>
        <v>1152151.7</v>
      </c>
      <c r="I61" s="47" t="s">
        <v>110</v>
      </c>
      <c r="J61" s="121">
        <v>46183</v>
      </c>
      <c r="K61" s="122"/>
      <c r="L61" s="85"/>
      <c r="M61" s="122"/>
      <c r="N61" s="122"/>
      <c r="O61" s="122"/>
      <c r="P61" s="45"/>
      <c r="Q61" s="122"/>
      <c r="R61" s="130">
        <f t="shared" ref="R61:R70" si="6">P61-O61</f>
        <v>0</v>
      </c>
      <c r="S61" s="120">
        <v>1152151.6999999997</v>
      </c>
      <c r="T61" s="130" t="s">
        <v>114</v>
      </c>
    </row>
    <row r="62" spans="1:20" ht="14.1">
      <c r="A62" s="29">
        <v>2025</v>
      </c>
      <c r="B62" s="29">
        <v>3</v>
      </c>
      <c r="C62" s="29" t="s">
        <v>31</v>
      </c>
      <c r="D62" s="29">
        <v>18768883</v>
      </c>
      <c r="E62" s="29" t="s">
        <v>89</v>
      </c>
      <c r="F62" s="34">
        <v>0</v>
      </c>
      <c r="G62" s="108">
        <v>0.5</v>
      </c>
      <c r="H62" s="109">
        <f>G62*F60</f>
        <v>1645931</v>
      </c>
      <c r="I62" s="28" t="s">
        <v>110</v>
      </c>
      <c r="J62" s="111">
        <v>46430</v>
      </c>
      <c r="K62" s="27"/>
      <c r="L62" s="85"/>
      <c r="M62" s="27"/>
      <c r="N62" s="27"/>
      <c r="O62" s="27"/>
      <c r="P62" s="29"/>
      <c r="Q62" s="27"/>
      <c r="R62" s="127">
        <f t="shared" si="6"/>
        <v>0</v>
      </c>
      <c r="S62" s="120">
        <v>0</v>
      </c>
      <c r="T62" s="127" t="s">
        <v>114</v>
      </c>
    </row>
    <row r="63" spans="1:20" ht="14.1">
      <c r="A63" s="29">
        <v>2025</v>
      </c>
      <c r="B63" s="29">
        <v>1</v>
      </c>
      <c r="C63" s="28" t="s">
        <v>74</v>
      </c>
      <c r="D63" s="29">
        <v>18793810</v>
      </c>
      <c r="E63" s="29" t="s">
        <v>86</v>
      </c>
      <c r="F63" s="114">
        <v>5901805</v>
      </c>
      <c r="G63" s="46">
        <v>0.1</v>
      </c>
      <c r="H63" s="109">
        <f>G63*F63</f>
        <v>590180.5</v>
      </c>
      <c r="I63" s="28" t="s">
        <v>110</v>
      </c>
      <c r="J63" s="27"/>
      <c r="K63" s="27"/>
      <c r="L63" s="85"/>
      <c r="M63" s="27"/>
      <c r="N63" s="27"/>
      <c r="O63" s="27"/>
      <c r="P63" s="29"/>
      <c r="Q63" s="27"/>
      <c r="R63" s="127">
        <f t="shared" si="6"/>
        <v>0</v>
      </c>
      <c r="S63" s="120">
        <v>590180.5</v>
      </c>
      <c r="T63" s="127" t="s">
        <v>114</v>
      </c>
    </row>
    <row r="64" spans="1:20" ht="14.1">
      <c r="A64" s="29">
        <v>2025</v>
      </c>
      <c r="B64" s="29">
        <v>2</v>
      </c>
      <c r="C64" s="28" t="s">
        <v>74</v>
      </c>
      <c r="D64" s="29">
        <v>18793810</v>
      </c>
      <c r="E64" s="29" t="s">
        <v>86</v>
      </c>
      <c r="F64" s="34">
        <v>0</v>
      </c>
      <c r="G64" s="46">
        <v>0.2</v>
      </c>
      <c r="H64" s="109">
        <f>G64*F63</f>
        <v>1180361</v>
      </c>
      <c r="I64" s="28" t="s">
        <v>110</v>
      </c>
      <c r="J64" s="27"/>
      <c r="K64" s="27"/>
      <c r="L64" s="85"/>
      <c r="M64" s="27"/>
      <c r="N64" s="27"/>
      <c r="O64" s="27"/>
      <c r="P64" s="29"/>
      <c r="Q64" s="27"/>
      <c r="R64" s="127">
        <f t="shared" si="6"/>
        <v>0</v>
      </c>
      <c r="S64" s="27">
        <v>0</v>
      </c>
      <c r="T64" s="127" t="s">
        <v>114</v>
      </c>
    </row>
    <row r="65" spans="1:20" ht="14.1">
      <c r="A65" s="29">
        <v>2025</v>
      </c>
      <c r="B65" s="29">
        <v>3</v>
      </c>
      <c r="C65" s="28" t="s">
        <v>74</v>
      </c>
      <c r="D65" s="29">
        <v>18793810</v>
      </c>
      <c r="E65" s="29" t="s">
        <v>86</v>
      </c>
      <c r="F65" s="34">
        <v>0</v>
      </c>
      <c r="G65" s="46">
        <v>0.1</v>
      </c>
      <c r="H65" s="109">
        <f>G65*F63</f>
        <v>590180.5</v>
      </c>
      <c r="I65" s="28" t="s">
        <v>110</v>
      </c>
      <c r="J65" s="27"/>
      <c r="K65" s="27"/>
      <c r="L65" s="85"/>
      <c r="M65" s="27"/>
      <c r="N65" s="27"/>
      <c r="O65" s="27"/>
      <c r="P65" s="29"/>
      <c r="Q65" s="27"/>
      <c r="R65" s="127">
        <f t="shared" si="6"/>
        <v>0</v>
      </c>
      <c r="S65" s="27">
        <v>0</v>
      </c>
      <c r="T65" s="127" t="s">
        <v>114</v>
      </c>
    </row>
    <row r="66" spans="1:20" ht="14.1">
      <c r="A66" s="45">
        <v>2025</v>
      </c>
      <c r="B66" s="45">
        <v>4</v>
      </c>
      <c r="C66" s="47" t="s">
        <v>74</v>
      </c>
      <c r="D66" s="45">
        <v>18793810</v>
      </c>
      <c r="E66" s="45" t="s">
        <v>86</v>
      </c>
      <c r="F66" s="119">
        <v>0</v>
      </c>
      <c r="G66" s="46">
        <v>0.5</v>
      </c>
      <c r="H66" s="129">
        <f>G66*F63</f>
        <v>2950902.5</v>
      </c>
      <c r="I66" s="47" t="s">
        <v>110</v>
      </c>
      <c r="J66" s="122"/>
      <c r="K66" s="27"/>
      <c r="L66" s="85"/>
      <c r="M66" s="27"/>
      <c r="N66" s="27"/>
      <c r="O66" s="27"/>
      <c r="P66" s="29"/>
      <c r="Q66" s="27"/>
      <c r="R66" s="127">
        <f t="shared" si="6"/>
        <v>0</v>
      </c>
      <c r="S66" s="27">
        <v>0</v>
      </c>
      <c r="T66" s="127" t="s">
        <v>114</v>
      </c>
    </row>
    <row r="67" spans="1:20" ht="14.1">
      <c r="A67" s="29">
        <v>2025</v>
      </c>
      <c r="B67" s="29">
        <v>5</v>
      </c>
      <c r="C67" s="28" t="s">
        <v>74</v>
      </c>
      <c r="D67" s="29">
        <v>18793810</v>
      </c>
      <c r="E67" s="29" t="s">
        <v>86</v>
      </c>
      <c r="F67" s="34">
        <v>0</v>
      </c>
      <c r="G67" s="30">
        <v>0.1</v>
      </c>
      <c r="H67" s="109">
        <f>G67*F63</f>
        <v>590180.5</v>
      </c>
      <c r="I67" s="28" t="s">
        <v>110</v>
      </c>
      <c r="J67" s="111">
        <v>46195</v>
      </c>
      <c r="K67" s="118"/>
      <c r="L67" s="85"/>
      <c r="M67" s="122"/>
      <c r="N67" s="122"/>
      <c r="O67" s="122"/>
      <c r="P67" s="45"/>
      <c r="Q67" s="122"/>
      <c r="R67" s="130">
        <f t="shared" si="6"/>
        <v>0</v>
      </c>
      <c r="S67" s="122">
        <v>0</v>
      </c>
      <c r="T67" s="130" t="s">
        <v>114</v>
      </c>
    </row>
    <row r="68" spans="1:20" ht="14.1">
      <c r="A68" s="29">
        <v>2025</v>
      </c>
      <c r="B68" s="29">
        <v>1</v>
      </c>
      <c r="C68" s="29" t="s">
        <v>31</v>
      </c>
      <c r="D68" s="29">
        <v>18800831</v>
      </c>
      <c r="E68" s="29" t="s">
        <v>53</v>
      </c>
      <c r="F68" s="131">
        <v>1006740</v>
      </c>
      <c r="G68" s="108">
        <v>0.15</v>
      </c>
      <c r="H68" s="109">
        <f>G68*F68</f>
        <v>151011</v>
      </c>
      <c r="I68" s="28" t="s">
        <v>110</v>
      </c>
      <c r="J68" s="111">
        <v>45952</v>
      </c>
      <c r="K68" s="132"/>
      <c r="L68" s="85"/>
      <c r="M68" s="27"/>
      <c r="N68" s="27"/>
      <c r="O68" s="27"/>
      <c r="P68" s="29"/>
      <c r="Q68" s="27"/>
      <c r="R68" s="130">
        <f t="shared" si="6"/>
        <v>0</v>
      </c>
      <c r="S68" s="109">
        <v>151011</v>
      </c>
      <c r="T68" s="130" t="s">
        <v>114</v>
      </c>
    </row>
    <row r="69" spans="1:20" ht="14.1">
      <c r="A69" s="29">
        <v>2025</v>
      </c>
      <c r="B69" s="29">
        <v>2</v>
      </c>
      <c r="C69" s="29" t="s">
        <v>31</v>
      </c>
      <c r="D69" s="29">
        <v>18800831</v>
      </c>
      <c r="E69" s="29" t="s">
        <v>53</v>
      </c>
      <c r="F69" s="34">
        <v>0</v>
      </c>
      <c r="G69" s="108">
        <v>0.35</v>
      </c>
      <c r="H69" s="109">
        <f>G69*F68</f>
        <v>352359</v>
      </c>
      <c r="I69" s="28" t="s">
        <v>110</v>
      </c>
      <c r="J69" s="111">
        <v>46068</v>
      </c>
      <c r="K69" s="132"/>
      <c r="L69" s="85"/>
      <c r="M69" s="27"/>
      <c r="N69" s="27"/>
      <c r="O69" s="27"/>
      <c r="P69" s="29"/>
      <c r="Q69" s="122"/>
      <c r="R69" s="130">
        <f t="shared" si="6"/>
        <v>0</v>
      </c>
      <c r="S69" s="122">
        <v>0</v>
      </c>
      <c r="T69" s="130" t="s">
        <v>114</v>
      </c>
    </row>
    <row r="70" spans="1:20" ht="14.1">
      <c r="A70" s="29">
        <v>2025</v>
      </c>
      <c r="B70" s="29">
        <v>3</v>
      </c>
      <c r="C70" s="29" t="s">
        <v>31</v>
      </c>
      <c r="D70" s="29">
        <v>18800831</v>
      </c>
      <c r="E70" s="29" t="s">
        <v>53</v>
      </c>
      <c r="F70" s="34">
        <v>0</v>
      </c>
      <c r="G70" s="108">
        <v>0.5</v>
      </c>
      <c r="H70" s="109">
        <f>G70*F68</f>
        <v>503370</v>
      </c>
      <c r="I70" s="28" t="s">
        <v>110</v>
      </c>
      <c r="J70" s="111">
        <v>46076</v>
      </c>
      <c r="K70" s="132"/>
      <c r="L70" s="85"/>
      <c r="M70" s="27"/>
      <c r="N70" s="27"/>
      <c r="O70" s="27"/>
      <c r="P70" s="126"/>
      <c r="Q70" s="27"/>
      <c r="R70" s="127">
        <f t="shared" si="6"/>
        <v>0</v>
      </c>
      <c r="S70" s="27">
        <v>0</v>
      </c>
      <c r="T70" s="127" t="s">
        <v>114</v>
      </c>
    </row>
  </sheetData>
  <autoFilter ref="A1:T70" xr:uid="{916CF878-6972-40D9-B1AA-0A7668C8747A}"/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ed983d-0353-4599-86af-91b89fcd91f1" xsi:nil="true"/>
    <lcf76f155ced4ddcb4097134ff3c332f xmlns="2952d940-5f17-46a6-a012-26583855885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01DCB72592E45A4CD5D0DC2AB45C6" ma:contentTypeVersion="18" ma:contentTypeDescription="Create a new document." ma:contentTypeScope="" ma:versionID="91f8ab587bb6380a5a331599e170b3e4">
  <xsd:schema xmlns:xsd="http://www.w3.org/2001/XMLSchema" xmlns:xs="http://www.w3.org/2001/XMLSchema" xmlns:p="http://schemas.microsoft.com/office/2006/metadata/properties" xmlns:ns2="2952d940-5f17-46a6-a012-265838558851" xmlns:ns3="84ed983d-0353-4599-86af-91b89fcd91f1" targetNamespace="http://schemas.microsoft.com/office/2006/metadata/properties" ma:root="true" ma:fieldsID="48a1203e883ed521f23fe8d124f266e2" ns2:_="" ns3:_="">
    <xsd:import namespace="2952d940-5f17-46a6-a012-265838558851"/>
    <xsd:import namespace="84ed983d-0353-4599-86af-91b89fcd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d940-5f17-46a6-a012-2658385588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5f81d0-cc8c-4396-a01c-a18c79d945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d983d-0353-4599-86af-91b89fcd91f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c1b0c0-04d7-4b5c-bf54-d3cc38e51437}" ma:internalName="TaxCatchAll" ma:showField="CatchAllData" ma:web="84ed983d-0353-4599-86af-91b89fcd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9D3F9F-291A-4824-A079-E18C0CB3D284}"/>
</file>

<file path=customXml/itemProps2.xml><?xml version="1.0" encoding="utf-8"?>
<ds:datastoreItem xmlns:ds="http://schemas.openxmlformats.org/officeDocument/2006/customXml" ds:itemID="{CFE38CDB-EB87-4760-BAB8-8AAF5A909FBB}"/>
</file>

<file path=customXml/itemProps3.xml><?xml version="1.0" encoding="utf-8"?>
<ds:datastoreItem xmlns:ds="http://schemas.openxmlformats.org/officeDocument/2006/customXml" ds:itemID="{D4249602-81E4-4F68-8F12-F618F20AD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Watcharapon Likanapichitkhun (ETS CHX TH)</dc:creator>
  <cp:keywords/>
  <dc:description/>
  <cp:lastModifiedBy/>
  <cp:revision/>
  <dcterms:created xsi:type="dcterms:W3CDTF">2025-05-14T15:15:45Z</dcterms:created>
  <dcterms:modified xsi:type="dcterms:W3CDTF">2025-11-25T14:25:29Z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0x010100A9E01DCB72592E45A4CD5D0DC2AB45C6</vt:lpwstr>
  </property>
  <property fmtid="{D5CDD505-2E9C-101B-9397-08002B2CF9AE}" pid="3" name="MediaServiceImageTags">
    <vt:lpwstr/>
  </property>
</Properties>
</file>